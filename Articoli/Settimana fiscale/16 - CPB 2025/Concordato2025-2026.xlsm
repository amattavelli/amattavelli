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androMattavelli\OneDrive - MATTAVELLI AMODEO COMMERCIALISTI ASSOCIATI\FINITI\Concordato Biennale\"/>
    </mc:Choice>
  </mc:AlternateContent>
  <xr:revisionPtr revIDLastSave="0" documentId="13_ncr:1_{224A47E7-7BAF-40A1-A0D1-2414C4066A02}" xr6:coauthVersionLast="47" xr6:coauthVersionMax="47" xr10:uidLastSave="{00000000-0000-0000-0000-000000000000}"/>
  <bookViews>
    <workbookView xWindow="-110" yWindow="-110" windowWidth="25180" windowHeight="16140" firstSheet="1" activeTab="1" xr2:uid="{01556969-C846-4BF4-97C3-3FEC84A58793}"/>
  </bookViews>
  <sheets>
    <sheet name="Foglio1" sheetId="1" state="veryHidden" r:id="rId1"/>
    <sheet name="ConcordatoBiennale" sheetId="2" r:id="rId2"/>
    <sheet name="Ateco" sheetId="5" state="veryHidden" r:id="rId3"/>
    <sheet name="Foglio3" sheetId="3" state="veryHidden" r:id="rId4"/>
  </sheets>
  <functionGroups builtInGroupCount="19"/>
  <definedNames>
    <definedName name="_xleta.AND" hidden="1" xlm="1">#NAME?</definedName>
    <definedName name="_xleta.NOT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Foglio3!$A$3:$G$202</definedName>
    <definedName name="ImpostaSostitutivaAP">ConcordatoBiennale!#REF!</definedName>
    <definedName name="ImpostaSotitutiva">ConcordatoBiennale!#REF!</definedName>
    <definedName name="ReddNorm">ConcordatoBiennale!$I$31</definedName>
    <definedName name="Requisiti">IF(ConcordatoBiennale!$B$19=FALSE,"X","")</definedName>
    <definedName name="SoggIRES">ConcordatoBiennale!$F$8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2" l="1"/>
  <c r="H43" i="2" s="1"/>
  <c r="I56" i="2"/>
  <c r="H56" i="2"/>
  <c r="I54" i="2"/>
  <c r="I55" i="2" s="1" a="1"/>
  <c r="H54" i="2"/>
  <c r="H55" i="2" s="1" a="1"/>
  <c r="I47" i="2"/>
  <c r="H47" i="2"/>
  <c r="I42" i="2"/>
  <c r="G43" i="2"/>
  <c r="I55" i="2" l="1"/>
  <c r="H55" i="2"/>
  <c r="H46" i="2"/>
  <c r="I43" i="2"/>
  <c r="K37" i="2"/>
  <c r="J37" i="2"/>
  <c r="K36" i="2"/>
  <c r="J36" i="2"/>
  <c r="AD8" i="2" l="1"/>
  <c r="AD6" i="2"/>
  <c r="J23" i="2"/>
  <c r="L9" i="2"/>
  <c r="J13" i="2"/>
  <c r="G64" i="2"/>
  <c r="C63" i="2"/>
  <c r="I6" i="2"/>
  <c r="J15" i="2" l="1"/>
  <c r="J20" i="2" l="1"/>
  <c r="L8" i="2"/>
  <c r="AD62" i="2"/>
  <c r="L5" i="2"/>
  <c r="J26" i="2"/>
  <c r="AD34" i="2"/>
  <c r="G42" i="2" l="1"/>
  <c r="I45" i="2" s="1"/>
  <c r="I46" i="2" l="1"/>
  <c r="I48" i="2" s="1"/>
  <c r="I63" i="2" s="1"/>
  <c r="I64" i="2" s="1"/>
  <c r="H45" i="2"/>
  <c r="H48" i="2" s="1"/>
  <c r="H63" i="2" l="1"/>
  <c r="H64" i="2" s="1"/>
  <c r="H58" i="2"/>
  <c r="H59" i="2" s="1"/>
  <c r="I58" i="2"/>
  <c r="I59" i="2" s="1"/>
  <c r="H60" i="2" l="1"/>
  <c r="C6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<sst xmlns="http://schemas.openxmlformats.org/spreadsheetml/2006/main" count="3137" uniqueCount="2713">
  <si>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</si>
  <si>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</si>
  <si>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</si>
  <si>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</si>
  <si>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</si>
  <si>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</si>
  <si>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</si>
  <si>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</si>
  <si>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</si>
  <si>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</si>
  <si>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</si>
  <si>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</si>
  <si>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</si>
  <si>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</si>
  <si>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</si>
  <si>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</si>
  <si>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</si>
  <si>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</si>
  <si>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</si>
  <si>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</si>
  <si>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</si>
  <si>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</si>
  <si>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</si>
  <si>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</si>
  <si>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</si>
  <si>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</si>
  <si>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 IRAP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</si>
  <si>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</si>
  <si>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</si>
  <si>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</si>
  <si>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</si>
  <si>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</si>
  <si>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</si>
  <si>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</si>
  <si>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</si>
  <si>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</si>
  <si>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</si>
  <si>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</si>
  <si>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</si>
  <si>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</si>
  <si>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</si>
  <si>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</si>
  <si>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Tipologia reddito</t>
  </si>
  <si>
    <t>b_bench</t>
  </si>
  <si>
    <t>limite_sett</t>
  </si>
  <si>
    <t>rif_redd</t>
  </si>
  <si>
    <t>Indice</t>
  </si>
  <si>
    <t>Imprese</t>
  </si>
  <si>
    <t>Professionisti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</si>
  <si>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</si>
  <si>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</si>
  <si>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</si>
  <si>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</si>
  <si>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</si>
  <si>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</si>
  <si>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</si>
  <si>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</si>
  <si>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</si>
  <si>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</si>
  <si>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</si>
  <si>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</si>
  <si>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</si>
  <si>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</si>
  <si>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</si>
  <si>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</si>
  <si>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</si>
  <si>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</si>
  <si>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</si>
  <si>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</si>
  <si>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</si>
  <si>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</si>
  <si>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</si>
  <si>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DG55U-Servizi di pompe funebri e attività connesse</t>
  </si>
  <si>
    <t>DG58U-Strutture ricettive all'aperto</t>
  </si>
  <si>
    <t>DG60U-Stabilimenti balneari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</si>
  <si>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</si>
  <si>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</si>
  <si>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</si>
  <si>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</si>
  <si>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</si>
  <si>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</si>
  <si>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</si>
  <si>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</si>
  <si>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</si>
  <si>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</si>
  <si>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</si>
  <si>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</si>
  <si>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</si>
  <si>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</si>
  <si>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</si>
  <si>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</si>
  <si>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</si>
  <si>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</si>
  <si>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</si>
  <si>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</si>
  <si>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</si>
  <si>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</si>
  <si>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</si>
  <si>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</si>
  <si>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DM13U-Commercio al dettaglio di giornali, riviste e periodici</t>
  </si>
  <si>
    <t>DM17U-Commercio all'ingrosso di cereali, legumi secchi e sementi</t>
  </si>
  <si>
    <t>DM18A-Commercio all'ingrosso di fiori e piante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</si>
  <si>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</si>
  <si>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</si>
  <si>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</si>
  <si>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</si>
  <si>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DM37U-Commercio all'ingrosso di saponi, detersivi, profumi e cosmetici</t>
  </si>
  <si>
    <t>DM39U-Commercio al dettaglio di combustibili per uso domestico e per riscaldamento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</si>
  <si>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</si>
  <si>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</si>
  <si>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</si>
  <si>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DM81U-Commercio all'ingrosso di combustibili</t>
  </si>
  <si>
    <t>DM84U-Commercio all'ingrosso di macchine utensili</t>
  </si>
  <si>
    <t>DM85U-Commercio al dettaglio di prodotti del tabacco</t>
  </si>
  <si>
    <t>DM88U-Commercio all'ingrosso di altri prodotti nca</t>
  </si>
  <si>
    <t>Studi.Personalizzato</t>
  </si>
  <si>
    <t>Colonna1</t>
  </si>
  <si>
    <t>X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</si>
  <si>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</si>
  <si>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</si>
  <si>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</si>
  <si>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DG88U-Autoscuole, scuole nautiche e agenzie di disbrigo pratiche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</si>
  <si>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</si>
  <si>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</si>
  <si>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</si>
  <si>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</si>
  <si>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</si>
  <si>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</si>
  <si>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</si>
  <si>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</si>
  <si>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</si>
  <si>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</si>
  <si>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</si>
  <si>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</si>
  <si>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</si>
  <si>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</si>
  <si>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</si>
  <si>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</si>
  <si>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</si>
  <si>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</si>
  <si>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</si>
  <si>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</si>
  <si>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</si>
  <si>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</si>
  <si>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</si>
  <si>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</si>
  <si>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</si>
  <si>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</si>
  <si>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</si>
  <si>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</si>
  <si>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</si>
  <si>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</si>
  <si>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</si>
  <si>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</si>
  <si>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</si>
  <si>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</si>
  <si>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</si>
  <si>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</si>
  <si>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</si>
  <si>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</si>
  <si>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</si>
  <si>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</si>
  <si>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</si>
  <si>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</si>
  <si>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</si>
  <si>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</si>
  <si>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</si>
  <si>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</si>
  <si>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</si>
  <si>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</si>
  <si>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</si>
  <si>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</si>
  <si>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</si>
  <si>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</si>
  <si>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</si>
  <si>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</si>
  <si>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</si>
  <si>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</si>
  <si>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</si>
  <si>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</si>
  <si>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</si>
  <si>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</si>
  <si>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</si>
  <si>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</si>
  <si>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</si>
  <si>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</si>
  <si>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</si>
  <si>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</si>
  <si>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</si>
  <si>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</si>
  <si>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</si>
  <si>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</si>
  <si>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</si>
  <si>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</si>
  <si>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</si>
  <si>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</si>
  <si>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</si>
  <si>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</si>
  <si>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</si>
  <si>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</si>
  <si>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</si>
  <si>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</si>
  <si>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</si>
  <si>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</si>
  <si>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</si>
  <si>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</si>
  <si>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</si>
  <si>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</si>
  <si>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</si>
  <si>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</si>
  <si>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</si>
  <si>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</si>
  <si>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</si>
  <si>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</si>
  <si>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</si>
  <si>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</si>
  <si>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</si>
  <si>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</si>
  <si>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</si>
  <si>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</si>
  <si>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</si>
  <si>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</si>
  <si>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</si>
  <si>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</si>
  <si>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</si>
  <si>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</si>
  <si>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</si>
  <si>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</si>
  <si>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</si>
  <si>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</si>
  <si>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</si>
  <si>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</si>
  <si>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</si>
  <si>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</si>
  <si>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</si>
  <si>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</si>
  <si>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</si>
  <si>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</si>
  <si>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</si>
  <si>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</si>
  <si>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</si>
  <si>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</si>
  <si>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</si>
  <si>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</si>
  <si>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</si>
  <si>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</si>
  <si>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</si>
  <si>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</si>
  <si>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</si>
  <si>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</si>
  <si>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</si>
  <si>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</si>
  <si>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</si>
  <si>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</si>
  <si>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</si>
  <si>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</si>
  <si>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</si>
  <si>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</si>
  <si>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</si>
  <si>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</si>
  <si>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</si>
  <si>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</si>
  <si>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</si>
  <si>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</si>
  <si>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</si>
  <si>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</si>
  <si>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</si>
  <si>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</si>
  <si>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</si>
  <si>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</si>
  <si>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</si>
  <si>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</si>
  <si>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</si>
  <si>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</si>
  <si>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</si>
  <si>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</si>
  <si>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</si>
  <si>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</si>
  <si>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</si>
  <si>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</si>
  <si>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</si>
  <si>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</si>
  <si>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</si>
  <si>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</si>
  <si>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</si>
  <si>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</si>
  <si>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</si>
  <si>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</si>
  <si>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</si>
  <si>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</si>
  <si>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</si>
  <si>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</si>
  <si>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</si>
  <si>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</si>
  <si>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</si>
  <si>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</si>
  <si>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</si>
  <si>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</si>
  <si>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</si>
  <si>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</si>
  <si>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</si>
  <si>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</si>
  <si>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</si>
  <si>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</si>
  <si>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</si>
  <si>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</si>
  <si>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</si>
  <si>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</si>
  <si>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</si>
  <si>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</si>
  <si>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</si>
  <si>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</si>
  <si>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</si>
  <si>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</si>
  <si>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</si>
  <si>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</si>
  <si>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</si>
  <si>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</si>
  <si>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</si>
  <si>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</si>
  <si>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</si>
  <si>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</si>
  <si>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</si>
  <si>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</si>
  <si>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</si>
  <si>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</si>
  <si>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</si>
  <si>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</si>
  <si>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</si>
  <si>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</si>
  <si>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</si>
  <si>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</si>
  <si>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</si>
  <si>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</si>
  <si>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</si>
  <si>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</si>
  <si>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</si>
  <si>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</si>
  <si>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</si>
  <si>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</si>
  <si>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</si>
  <si>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</si>
  <si>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</si>
  <si>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</si>
  <si>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</si>
  <si>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</si>
  <si>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</si>
  <si>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</si>
  <si>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</si>
  <si>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</si>
  <si>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</si>
  <si>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</si>
  <si>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</si>
  <si>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</si>
  <si>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</si>
  <si>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</si>
  <si>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</si>
  <si>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</si>
  <si>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</si>
  <si>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</si>
  <si>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</si>
  <si>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</si>
  <si>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</si>
  <si>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</si>
  <si>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</si>
  <si>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</si>
  <si>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</si>
  <si>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</si>
  <si>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</si>
  <si>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</si>
  <si>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</si>
  <si>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</si>
  <si>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</si>
  <si>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</si>
  <si>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</si>
  <si>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</si>
  <si>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</si>
  <si>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</si>
  <si>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</si>
  <si>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</si>
  <si>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</si>
  <si>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</si>
  <si>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</si>
  <si>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</si>
  <si>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</si>
  <si>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</si>
  <si>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</si>
  <si>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</si>
  <si>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</si>
  <si>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</si>
  <si>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</si>
  <si>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</si>
  <si>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</si>
  <si>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</si>
  <si>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</si>
  <si>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</si>
  <si>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</si>
  <si>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</si>
  <si>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</si>
  <si>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</si>
  <si>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</si>
  <si>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</si>
  <si>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</si>
  <si>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</si>
  <si>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</si>
  <si>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</si>
  <si>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</si>
  <si>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</si>
  <si>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</si>
  <si>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</si>
  <si>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</si>
  <si>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</si>
  <si>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</si>
  <si>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</si>
  <si>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</si>
  <si>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</si>
  <si>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</si>
  <si>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</si>
  <si>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</si>
  <si>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</si>
  <si>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</si>
  <si>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</si>
  <si>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</si>
  <si>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</si>
  <si>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</si>
  <si>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</si>
  <si>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</si>
  <si>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</si>
  <si>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</si>
  <si>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</si>
  <si>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</si>
  <si>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</si>
  <si>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</si>
  <si>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</si>
  <si>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</si>
  <si>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</si>
  <si>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</si>
  <si>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</si>
  <si>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</si>
  <si>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</si>
  <si>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</si>
  <si>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</si>
  <si>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</si>
  <si>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</si>
  <si>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</si>
  <si>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</si>
  <si>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</si>
  <si>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</si>
  <si>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</si>
  <si>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</si>
  <si>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</si>
  <si>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</si>
  <si>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</si>
  <si>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</si>
  <si>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</si>
  <si>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</si>
  <si>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</si>
  <si>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</si>
  <si>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</si>
  <si>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</si>
  <si>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</si>
  <si>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</si>
  <si>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</si>
  <si>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</si>
  <si>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</si>
  <si>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</si>
  <si>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</si>
  <si>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</si>
  <si>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</si>
  <si>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</si>
  <si>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</si>
  <si>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</si>
  <si>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</si>
  <si>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</si>
  <si>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</si>
  <si>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</si>
  <si>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</si>
  <si>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</si>
  <si>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</si>
  <si>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</si>
  <si>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</si>
  <si>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</si>
  <si>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</si>
  <si>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</si>
  <si>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</si>
  <si>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</si>
  <si>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</si>
  <si>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</si>
  <si>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</si>
  <si>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</si>
  <si>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</si>
  <si>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</si>
  <si>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</si>
  <si>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</si>
  <si>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</si>
  <si>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</si>
  <si>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</si>
  <si>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</si>
  <si>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</si>
  <si>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</si>
  <si>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</si>
  <si>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</si>
  <si>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</si>
  <si>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</si>
  <si>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</si>
  <si>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</si>
  <si>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</si>
  <si>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</si>
  <si>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</si>
  <si>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</si>
  <si>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</si>
  <si>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</si>
  <si>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</si>
  <si>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</si>
  <si>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</si>
  <si>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</si>
  <si>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</si>
  <si>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</si>
  <si>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</si>
  <si>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</si>
  <si>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</si>
  <si>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</si>
  <si>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</si>
  <si>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</si>
  <si>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</si>
  <si>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</si>
  <si>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</si>
  <si>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</si>
  <si>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</si>
  <si>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</si>
  <si>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</si>
  <si>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</si>
  <si>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</si>
  <si>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</si>
  <si>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</si>
  <si>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</si>
  <si>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</si>
  <si>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</si>
  <si>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</si>
  <si>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</si>
  <si>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</si>
  <si>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</si>
  <si>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</si>
  <si>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</si>
  <si>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</si>
  <si>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</si>
  <si>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</si>
  <si>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</si>
  <si>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</si>
  <si>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</si>
  <si>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</si>
  <si>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</si>
  <si>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</si>
  <si>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</si>
  <si>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</si>
  <si>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</si>
  <si>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</si>
  <si>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</si>
  <si>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</si>
  <si>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</si>
  <si>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</si>
  <si>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</si>
  <si>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</si>
  <si>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</si>
  <si>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</si>
  <si>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</si>
  <si>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</si>
  <si>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</si>
  <si>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</si>
  <si>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</si>
  <si>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</si>
  <si>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</si>
  <si>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</si>
  <si>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</si>
  <si>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</si>
  <si>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</si>
  <si>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</si>
  <si>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</si>
  <si>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</si>
  <si>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</si>
  <si>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</si>
  <si>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</si>
  <si>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</si>
  <si>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</si>
  <si>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</si>
  <si>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</si>
  <si>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</si>
  <si>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</si>
  <si>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</si>
  <si>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</si>
  <si>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</si>
  <si>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</si>
  <si>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</si>
  <si>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</si>
  <si>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</si>
  <si>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</si>
  <si>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</si>
  <si>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</si>
  <si>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</si>
  <si>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</si>
  <si>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</si>
  <si>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</si>
  <si>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</si>
  <si>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</si>
  <si>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</si>
  <si>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</si>
  <si>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</si>
  <si>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</si>
  <si>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</si>
  <si>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</si>
  <si>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</si>
  <si>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</si>
  <si>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</si>
  <si>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</si>
  <si>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</si>
  <si>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</si>
  <si>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</si>
  <si>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</si>
  <si>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</si>
  <si>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</si>
  <si>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</si>
  <si>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</si>
  <si>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</si>
  <si>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</si>
  <si>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</si>
  <si>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</si>
  <si>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</si>
  <si>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</si>
  <si>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</si>
  <si>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</si>
  <si>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</si>
  <si>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</si>
  <si>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</si>
  <si>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</si>
  <si>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</si>
  <si>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</si>
  <si>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</si>
  <si>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</si>
  <si>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</si>
  <si>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</si>
  <si>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</si>
  <si>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</si>
  <si>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</si>
  <si>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</si>
  <si>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</si>
  <si>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</si>
  <si>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</si>
  <si>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</si>
  <si>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</si>
  <si>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</si>
  <si>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</si>
  <si>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</si>
  <si>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</si>
  <si>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</si>
  <si>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</si>
  <si>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</si>
  <si>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</si>
  <si>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</si>
  <si>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</si>
  <si>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</si>
  <si>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</si>
  <si>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</si>
  <si>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</si>
  <si>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</si>
  <si>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</si>
  <si>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</si>
  <si>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</si>
  <si>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</si>
  <si>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</si>
  <si>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</si>
  <si>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</si>
  <si>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</si>
  <si>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</si>
  <si>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</si>
  <si>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</si>
  <si>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</si>
  <si>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</si>
  <si>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</si>
  <si>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</si>
  <si>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</si>
  <si>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</si>
  <si>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</si>
  <si>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</si>
  <si>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</si>
  <si>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</si>
  <si>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</si>
  <si>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</si>
  <si>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</si>
  <si>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</si>
  <si>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</si>
  <si>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</si>
  <si>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</si>
  <si>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</si>
  <si>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</si>
  <si>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</si>
  <si>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</si>
  <si>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</si>
  <si>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</si>
  <si>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</si>
  <si>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</si>
  <si>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</si>
  <si>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</si>
  <si>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</si>
  <si>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</si>
  <si>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</si>
  <si>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</si>
  <si>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</si>
  <si>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</si>
  <si>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</si>
  <si>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</si>
  <si>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</si>
  <si>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</si>
  <si>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</si>
  <si>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</si>
  <si>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</si>
  <si>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</si>
  <si>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</si>
  <si>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</si>
  <si>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</si>
  <si>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</si>
  <si>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</si>
  <si>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</si>
  <si>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</si>
  <si>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</si>
  <si>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</si>
  <si>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</si>
  <si>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</si>
  <si>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</si>
  <si>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</si>
  <si>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</si>
  <si>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</si>
  <si>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</si>
  <si>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</si>
  <si>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</si>
  <si>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</si>
  <si>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</si>
  <si>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</si>
  <si>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</si>
  <si>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</si>
  <si>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</si>
  <si>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</si>
  <si>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</si>
  <si>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</si>
  <si>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</si>
  <si>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</si>
  <si>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</si>
  <si>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</si>
  <si>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</si>
  <si>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</si>
  <si>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</si>
  <si>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</si>
  <si>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</si>
  <si>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</si>
  <si>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</si>
  <si>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</si>
  <si>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</si>
  <si>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</si>
  <si>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</si>
  <si>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</si>
  <si>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</si>
  <si>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</si>
  <si>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</si>
  <si>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</si>
  <si>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</si>
  <si>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</si>
  <si>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</si>
  <si>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</si>
  <si>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</si>
  <si>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</si>
  <si>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</si>
  <si>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</si>
  <si>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</si>
  <si>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</si>
  <si>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</si>
  <si>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</si>
  <si>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</si>
  <si>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</si>
  <si>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</si>
  <si>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</si>
  <si>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</si>
  <si>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</si>
  <si>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</si>
  <si>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</si>
  <si>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</si>
  <si>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</si>
  <si>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</si>
  <si>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</si>
  <si>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</si>
  <si>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</si>
  <si>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</si>
  <si>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</si>
  <si>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</si>
  <si>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</si>
  <si>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</si>
  <si>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</si>
  <si>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</si>
  <si>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</si>
  <si>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</si>
  <si>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</si>
  <si>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</si>
  <si>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</si>
  <si>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</si>
  <si>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</si>
  <si>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</si>
  <si>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</si>
  <si>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</si>
  <si>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</si>
  <si>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</si>
  <si>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</si>
  <si>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</si>
  <si>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</si>
  <si>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</si>
  <si>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</si>
  <si>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</si>
  <si>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</si>
  <si>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</si>
  <si>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</si>
  <si>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</si>
  <si>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</si>
  <si>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</si>
  <si>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</si>
  <si>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</si>
  <si>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</si>
  <si>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</si>
  <si>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</si>
  <si>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</si>
  <si>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</si>
  <si>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</si>
  <si>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</si>
  <si>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</si>
  <si>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</si>
  <si>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</si>
  <si>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</si>
  <si>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</si>
  <si>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</si>
  <si>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</si>
  <si>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</si>
  <si>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</si>
  <si>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</si>
  <si>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</si>
  <si>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</si>
  <si>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</si>
  <si>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</si>
  <si>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</si>
  <si>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</si>
  <si>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</si>
  <si>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</si>
  <si>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</si>
  <si>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</si>
  <si>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</si>
  <si>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</si>
  <si>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</si>
  <si>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</si>
  <si>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</si>
  <si>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</si>
  <si>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</si>
  <si>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</si>
  <si>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</si>
  <si>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</si>
  <si>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</si>
  <si>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</si>
  <si>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</si>
  <si>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</si>
  <si>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</si>
  <si>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</si>
  <si>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</si>
  <si>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</si>
  <si>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</si>
  <si>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</si>
  <si>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</si>
  <si>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</si>
  <si>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</si>
  <si>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</si>
  <si>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</si>
  <si>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</si>
  <si>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</si>
  <si>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</si>
  <si>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</si>
  <si>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</si>
  <si>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</si>
  <si>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</si>
  <si>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</si>
  <si>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</si>
  <si>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</si>
  <si>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</si>
  <si>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</si>
  <si>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</si>
  <si>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</si>
  <si>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</si>
  <si>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</si>
  <si>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</si>
  <si>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</si>
  <si>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</si>
  <si>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</si>
  <si>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</si>
  <si>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</si>
  <si>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</si>
  <si>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</si>
  <si>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</si>
  <si>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</si>
  <si>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</si>
  <si>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</si>
  <si>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</si>
  <si>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</si>
  <si>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</si>
  <si>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</si>
  <si>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</si>
  <si>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</si>
  <si>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</si>
  <si>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</si>
  <si>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</si>
  <si>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</si>
  <si>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</si>
  <si>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</si>
  <si>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</si>
  <si>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</si>
  <si>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</si>
  <si>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</si>
  <si>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</si>
  <si>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</si>
  <si>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</si>
  <si>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</si>
  <si>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</si>
  <si>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</si>
  <si>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</si>
  <si>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</si>
  <si>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</si>
  <si>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</si>
  <si>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</si>
  <si>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</si>
  <si>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</si>
  <si>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</si>
  <si>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</si>
  <si>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</si>
  <si>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</si>
  <si>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</si>
  <si>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</si>
  <si>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</si>
  <si>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</si>
  <si>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</si>
  <si>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</si>
  <si>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</si>
  <si>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</si>
  <si>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</si>
  <si>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</si>
  <si>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</si>
  <si>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</si>
  <si>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</si>
  <si>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</si>
  <si>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</si>
  <si>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</si>
  <si>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</si>
  <si>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</si>
  <si>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</si>
  <si>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</si>
  <si>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</si>
  <si>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</si>
  <si>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</si>
  <si>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</si>
  <si>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</si>
  <si>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</si>
  <si>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</si>
  <si>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</si>
  <si>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</si>
  <si>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</si>
  <si>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</si>
  <si>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</si>
  <si>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</si>
  <si>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</si>
  <si>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</si>
  <si>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</si>
  <si>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</si>
  <si>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</si>
  <si>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</si>
  <si>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</si>
  <si>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</si>
  <si>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</si>
  <si>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</si>
  <si>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</si>
  <si>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</si>
  <si>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</si>
  <si>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</si>
  <si>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</si>
  <si>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</si>
  <si>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</si>
  <si>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</si>
  <si>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</si>
  <si>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</si>
  <si>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</si>
  <si>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</si>
  <si>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</si>
  <si>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</si>
  <si>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</si>
  <si>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</si>
  <si>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</si>
  <si>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</si>
  <si>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</si>
  <si>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</si>
  <si>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</si>
  <si>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</si>
  <si>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</si>
  <si>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</si>
  <si>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</si>
  <si>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</si>
  <si>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</si>
  <si>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</si>
  <si>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</si>
  <si>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</si>
  <si>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</si>
  <si>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</si>
  <si>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</si>
  <si>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</si>
  <si>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</si>
  <si>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</si>
  <si>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</si>
  <si>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</si>
  <si>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</si>
  <si>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</si>
  <si>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</si>
  <si>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</si>
  <si>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</si>
  <si>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</si>
  <si>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</si>
  <si>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</si>
  <si>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</si>
  <si>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</si>
  <si>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</si>
  <si>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</si>
  <si>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</si>
  <si>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</si>
  <si>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</si>
  <si>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</si>
  <si>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</si>
  <si>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</si>
  <si>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</si>
  <si>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</si>
  <si>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</si>
  <si>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</si>
  <si>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</si>
  <si>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</si>
  <si>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</si>
  <si>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</si>
  <si>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</si>
  <si>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</si>
  <si>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</si>
  <si>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</si>
  <si>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</si>
  <si>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</si>
  <si>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</si>
  <si>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</si>
  <si>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</si>
  <si>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</si>
  <si>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</si>
  <si>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</si>
  <si>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</si>
  <si>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</si>
  <si>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</si>
  <si>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</si>
  <si>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</si>
  <si>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</si>
  <si>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</si>
  <si>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</si>
  <si>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</si>
  <si>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</si>
  <si>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</si>
  <si>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</si>
  <si>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</si>
  <si>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</si>
  <si>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</si>
  <si>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</si>
  <si>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</si>
  <si>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</si>
  <si>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</si>
  <si>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</si>
  <si>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</si>
  <si>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</si>
  <si>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</si>
  <si>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</si>
  <si>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</si>
  <si>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</si>
  <si>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</si>
  <si>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</si>
  <si>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</si>
  <si>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</si>
  <si>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</si>
  <si>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</si>
  <si>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</si>
  <si>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</si>
  <si>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</si>
  <si>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</si>
  <si>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</si>
  <si>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</si>
  <si>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</si>
  <si>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</si>
  <si>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</si>
  <si>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</si>
  <si>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</si>
  <si>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</si>
  <si>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</si>
  <si>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</si>
  <si>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</si>
  <si>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</si>
  <si>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</si>
  <si>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</si>
  <si>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</si>
  <si>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</si>
  <si>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</si>
  <si>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</si>
  <si>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</si>
  <si>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</si>
  <si>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</si>
  <si>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</si>
  <si>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</si>
  <si>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</si>
  <si>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</si>
  <si>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</si>
  <si>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</si>
  <si>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</si>
  <si>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</si>
  <si>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</si>
  <si>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</si>
  <si>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</si>
  <si>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</si>
  <si>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</si>
  <si>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</si>
  <si>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</si>
  <si>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</si>
  <si>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</si>
  <si>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</si>
  <si>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</si>
  <si>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</si>
  <si>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</si>
  <si>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</si>
  <si>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</si>
  <si>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</si>
  <si>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</si>
  <si>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</si>
  <si>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</si>
  <si>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</si>
  <si>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</si>
  <si>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</si>
  <si>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</si>
  <si>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</si>
  <si>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</si>
  <si>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</si>
  <si>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</si>
  <si>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</si>
  <si>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</si>
  <si>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</si>
  <si>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</si>
  <si>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</si>
  <si>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</si>
  <si>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</si>
  <si>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</si>
  <si>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</si>
  <si>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</si>
  <si>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</si>
  <si>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</si>
  <si>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</si>
  <si>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</si>
  <si>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</si>
  <si>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</si>
  <si>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</si>
  <si>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</si>
  <si>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</si>
  <si>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</si>
  <si>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</si>
  <si>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</si>
  <si>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</si>
  <si>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</si>
  <si>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</si>
  <si>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</si>
  <si>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</si>
  <si>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</si>
  <si>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</si>
  <si>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</si>
  <si>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</si>
  <si>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</si>
  <si>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</si>
  <si>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</si>
  <si>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</si>
  <si>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</si>
  <si>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</si>
  <si>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</si>
  <si>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</si>
  <si>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</si>
  <si>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</si>
  <si>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</si>
  <si>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</si>
  <si>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</si>
  <si>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</si>
  <si>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</si>
  <si>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</si>
  <si>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</si>
  <si>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</si>
  <si>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</si>
  <si>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</si>
  <si>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</si>
  <si>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</si>
  <si>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</si>
  <si>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</si>
  <si>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</si>
  <si>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</si>
  <si>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</si>
  <si>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</si>
  <si>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</si>
  <si>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</si>
  <si>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</si>
  <si>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</si>
  <si>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</si>
  <si>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</si>
  <si>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</si>
  <si>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</si>
  <si>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</si>
  <si>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</si>
  <si>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</si>
  <si>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</si>
  <si>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</si>
  <si>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</si>
  <si>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</si>
  <si>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</si>
  <si>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</si>
  <si>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</si>
  <si>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</si>
  <si>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</si>
  <si>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</si>
  <si>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</si>
  <si>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</si>
  <si>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</si>
  <si>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</si>
  <si>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</si>
  <si>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</si>
  <si>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</si>
  <si>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</si>
  <si>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</si>
  <si>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</si>
  <si>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</si>
  <si>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</si>
  <si>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</si>
  <si>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</si>
  <si>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</si>
  <si>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</si>
  <si>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</si>
  <si>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</si>
  <si>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</si>
  <si>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</si>
  <si>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</si>
  <si>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</si>
  <si>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</si>
  <si>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</si>
  <si>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</si>
  <si>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</si>
  <si>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</si>
  <si>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</si>
  <si>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</si>
  <si>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</si>
  <si>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</si>
  <si>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</si>
  <si>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</si>
  <si>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</si>
  <si>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</si>
  <si>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</si>
  <si>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</si>
  <si>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</si>
  <si>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</si>
  <si>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</si>
  <si>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</si>
  <si>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</si>
  <si>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</si>
  <si>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</si>
  <si>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</si>
  <si>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</si>
  <si>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</si>
  <si>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</si>
  <si>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</si>
  <si>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</si>
  <si>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</si>
  <si>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</si>
  <si>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</si>
  <si>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</si>
  <si>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</si>
  <si>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</si>
  <si>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</si>
  <si>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</si>
  <si>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</si>
  <si>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</si>
  <si>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</si>
  <si>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</si>
  <si>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</si>
  <si>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</si>
  <si>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</si>
  <si>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</si>
  <si>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</si>
  <si>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</si>
  <si>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</si>
  <si>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</si>
  <si>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</si>
  <si>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</si>
  <si>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</si>
  <si>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</si>
  <si>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</si>
  <si>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</si>
  <si>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</si>
  <si>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</si>
  <si>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</si>
  <si>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</si>
  <si>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</si>
  <si>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</si>
  <si>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</si>
  <si>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</si>
  <si>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</si>
  <si>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</si>
  <si>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</si>
  <si>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</si>
  <si>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</si>
  <si>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</si>
  <si>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</si>
  <si>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</si>
  <si>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</si>
  <si>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</si>
  <si>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</si>
  <si>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</si>
  <si>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</si>
  <si>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</si>
  <si>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</si>
  <si>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</si>
  <si>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</si>
  <si>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</si>
  <si>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</si>
  <si>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</si>
  <si>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</si>
  <si>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</si>
  <si>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</si>
  <si>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</si>
  <si>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</si>
  <si>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</si>
  <si>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</si>
  <si>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</si>
  <si>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</si>
  <si>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</si>
  <si>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</si>
  <si>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</si>
  <si>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</si>
  <si>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</si>
  <si>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</si>
  <si>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</si>
  <si>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</si>
  <si>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</si>
  <si>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</si>
  <si>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</si>
  <si>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</si>
  <si>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</si>
  <si>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</si>
  <si>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</si>
  <si>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</si>
  <si>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</si>
  <si>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</si>
  <si>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</si>
  <si>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</si>
  <si>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</si>
  <si>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</si>
  <si>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</si>
  <si>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</si>
  <si>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</si>
  <si>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</si>
  <si>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</si>
  <si>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</si>
  <si>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</si>
  <si>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</si>
  <si>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</si>
  <si>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</si>
  <si>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</si>
  <si>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</si>
  <si>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</si>
  <si>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</si>
  <si>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</si>
  <si>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</si>
  <si>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</si>
  <si>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</si>
  <si>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</si>
  <si>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</si>
  <si>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</si>
  <si>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</si>
  <si>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</si>
  <si>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</si>
  <si>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</si>
  <si>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</si>
  <si>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</si>
  <si>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</si>
  <si>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</si>
  <si>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</si>
  <si>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</si>
  <si>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</si>
  <si>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</si>
  <si>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</si>
  <si>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</si>
  <si>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</si>
  <si>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</si>
  <si>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</si>
  <si>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</si>
  <si>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</si>
  <si>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</si>
  <si>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</si>
  <si>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</si>
  <si>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</si>
  <si>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</si>
  <si>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</si>
  <si>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</si>
  <si>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</si>
  <si>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</si>
  <si>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</si>
  <si>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</si>
  <si>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</si>
  <si>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</si>
  <si>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</si>
  <si>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</si>
  <si>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</si>
  <si>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</si>
  <si>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</si>
  <si>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</si>
  <si>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</si>
  <si>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</si>
  <si>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</si>
  <si>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</si>
  <si>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</si>
  <si>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</si>
  <si>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</si>
  <si>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</si>
  <si>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</si>
  <si>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</si>
  <si>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</si>
  <si>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</si>
  <si>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</si>
  <si>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</si>
  <si>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</si>
  <si>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</si>
  <si>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</si>
  <si>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</si>
  <si>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</si>
  <si>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</si>
  <si>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</si>
  <si>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</si>
  <si>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</si>
  <si>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</si>
  <si>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</si>
  <si>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</si>
  <si>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</si>
  <si>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</si>
  <si>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</si>
  <si>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</si>
  <si>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</si>
  <si>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</si>
  <si>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</si>
  <si>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</si>
  <si>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</si>
  <si>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</si>
  <si>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</si>
  <si>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</si>
  <si>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</si>
  <si>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</si>
  <si>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</si>
  <si>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</si>
  <si>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</si>
  <si>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</si>
  <si>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</si>
  <si>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</si>
  <si>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</si>
  <si>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</si>
  <si>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</si>
  <si>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</si>
  <si>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</si>
  <si>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</si>
  <si>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</si>
  <si>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</si>
  <si>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</si>
  <si>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</si>
  <si>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</si>
  <si>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</si>
  <si>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</si>
  <si>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</si>
  <si>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</si>
  <si>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</si>
  <si>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</si>
  <si>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</si>
  <si>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</si>
  <si>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</si>
  <si>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</si>
  <si>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</si>
  <si>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</si>
  <si>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</si>
  <si>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</si>
  <si>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</si>
  <si>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</si>
  <si>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</si>
  <si>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</si>
  <si>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</si>
  <si>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</si>
  <si>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</si>
  <si>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</si>
  <si>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</si>
  <si>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</si>
  <si>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</si>
  <si>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</si>
  <si>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</si>
  <si>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</si>
  <si>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</si>
  <si>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</si>
  <si>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</si>
  <si>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</si>
  <si>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</si>
  <si>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</si>
  <si>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</si>
  <si>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</si>
  <si>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</si>
  <si>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</si>
  <si>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</si>
  <si>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</si>
  <si>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</si>
  <si>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</si>
  <si>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</si>
  <si>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</si>
  <si>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</si>
  <si>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</si>
  <si>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</si>
  <si>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</si>
  <si>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</si>
  <si>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</si>
  <si>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</si>
  <si>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</si>
  <si>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</si>
  <si>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</si>
  <si>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</si>
  <si>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</si>
  <si>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</si>
  <si>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</si>
  <si>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</si>
  <si>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</si>
  <si>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</si>
  <si>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</si>
  <si>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</si>
  <si>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</si>
  <si>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</si>
  <si>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</si>
  <si>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</si>
  <si>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</si>
  <si>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</si>
  <si>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</si>
  <si>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</si>
  <si>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</si>
  <si>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</si>
  <si>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</si>
  <si>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</si>
  <si>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</si>
  <si>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</si>
  <si>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</si>
  <si>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</si>
  <si>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</si>
  <si>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</si>
  <si>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</si>
  <si>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</si>
  <si>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</si>
  <si>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</si>
  <si>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</si>
  <si>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</si>
  <si>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</si>
  <si>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</si>
  <si>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</si>
  <si>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</si>
  <si>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</si>
  <si>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</si>
  <si>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</si>
  <si>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</si>
  <si>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</si>
  <si>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</si>
  <si>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</si>
  <si>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</si>
  <si>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</si>
  <si>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</si>
  <si>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</si>
  <si>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</si>
  <si>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</si>
  <si>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</si>
  <si>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</si>
  <si>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</si>
  <si>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</si>
  <si>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</si>
  <si>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</si>
  <si>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</si>
  <si>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</si>
  <si>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</si>
  <si>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</si>
  <si>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</si>
  <si>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</si>
  <si>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</si>
  <si>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</si>
  <si>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</si>
  <si>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</si>
  <si>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</si>
  <si>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</si>
  <si>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</si>
  <si>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</si>
  <si>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</si>
  <si>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</si>
  <si>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</si>
  <si>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</si>
  <si>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</si>
  <si>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</si>
  <si>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</si>
  <si>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</si>
  <si>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</si>
  <si>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</si>
  <si>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</si>
  <si>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</si>
  <si>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</si>
  <si>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</si>
  <si>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</si>
  <si>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</si>
  <si>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</si>
  <si>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</si>
  <si>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</si>
  <si>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</si>
  <si>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</si>
  <si>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</si>
  <si>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</si>
  <si>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</si>
  <si>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</si>
  <si>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</si>
  <si>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</si>
  <si>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</si>
  <si>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</si>
  <si>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</si>
  <si>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</si>
  <si>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</si>
  <si>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</si>
  <si>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</si>
  <si>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</si>
  <si>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</si>
  <si>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</si>
  <si>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</si>
  <si>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</si>
  <si>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</si>
  <si>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</si>
  <si>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</si>
  <si>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</si>
  <si>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</si>
  <si>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</si>
  <si>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</si>
  <si>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</si>
  <si>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</si>
  <si>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</si>
  <si>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</si>
  <si>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</si>
  <si>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</si>
  <si>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</si>
  <si>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</si>
  <si>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</si>
  <si>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</si>
  <si>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</si>
  <si>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</si>
  <si>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</si>
  <si>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</si>
  <si>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</si>
  <si>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</si>
  <si>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</si>
  <si>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</si>
  <si>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</si>
  <si>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</si>
  <si>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</si>
  <si>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</si>
  <si>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</si>
  <si>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</si>
  <si>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</si>
  <si>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</si>
  <si>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</si>
  <si>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</si>
  <si>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</si>
  <si>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</si>
  <si>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</si>
  <si>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</si>
  <si>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</si>
  <si>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</si>
  <si>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</si>
  <si>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</si>
  <si>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</si>
  <si>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</si>
  <si>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</si>
  <si>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</si>
  <si>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</si>
  <si>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</si>
  <si>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</si>
  <si>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</si>
  <si>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</si>
  <si>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</si>
  <si>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</si>
  <si>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</si>
  <si>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</si>
  <si>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</si>
  <si>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</si>
  <si>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</si>
  <si>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</si>
  <si>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</si>
  <si>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</si>
  <si>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</si>
  <si>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</si>
  <si>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</si>
  <si>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</si>
  <si>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</si>
  <si>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</si>
  <si>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</si>
  <si>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</si>
  <si>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</si>
  <si>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</si>
  <si>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</si>
  <si>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</si>
  <si>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</si>
  <si>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</si>
  <si>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</si>
  <si>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</si>
  <si>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</si>
  <si>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</si>
  <si>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</si>
  <si>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</si>
  <si>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</si>
  <si>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</si>
  <si>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</si>
  <si>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</si>
  <si>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</si>
  <si>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</si>
  <si>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</si>
  <si>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</si>
  <si>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</si>
  <si>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</si>
  <si>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</si>
  <si>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</si>
  <si>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</si>
  <si>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</si>
  <si>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</si>
  <si>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</si>
  <si>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</si>
  <si>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</si>
  <si>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</si>
  <si>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</si>
  <si>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</si>
  <si>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</si>
  <si>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</si>
  <si>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</si>
  <si>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</si>
  <si>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</si>
  <si>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</si>
  <si>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</si>
  <si>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</si>
  <si>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</si>
  <si>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</si>
  <si>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</si>
  <si>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</si>
  <si>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</si>
  <si>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</si>
  <si>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</si>
  <si>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</si>
  <si>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</si>
  <si>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</si>
  <si>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</si>
  <si>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</si>
  <si>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</si>
  <si>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</si>
  <si>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</si>
  <si>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</si>
  <si>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</si>
  <si>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</si>
  <si>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</si>
  <si>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</si>
  <si>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</si>
  <si>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</si>
  <si>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</si>
  <si>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</si>
  <si>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</si>
  <si>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</si>
  <si>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</si>
  <si>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</si>
  <si>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</si>
  <si>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</si>
  <si>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</si>
  <si>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</si>
  <si>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</si>
  <si>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</si>
  <si>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</si>
  <si>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</si>
  <si>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</si>
  <si>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</si>
  <si>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</si>
  <si>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</si>
  <si>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</si>
  <si>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</si>
  <si>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</si>
  <si>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</si>
  <si>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</si>
  <si>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</si>
  <si>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</si>
  <si>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</si>
  <si>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</si>
  <si>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</si>
  <si>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</si>
  <si>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</si>
  <si>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</si>
  <si>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</si>
  <si>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</si>
  <si>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</si>
  <si>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</si>
  <si>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</si>
  <si>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</si>
  <si>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</si>
  <si>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</si>
  <si>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</si>
  <si>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</si>
  <si>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</si>
  <si>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</si>
  <si>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</si>
  <si>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</si>
  <si>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</si>
  <si>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</si>
  <si>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</si>
  <si>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</si>
  <si>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</si>
  <si>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</si>
  <si>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</si>
  <si>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</si>
  <si>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</si>
  <si>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</si>
  <si>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</si>
  <si>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</si>
  <si>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</si>
  <si>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</si>
  <si>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</si>
  <si>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</si>
  <si>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</si>
  <si>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</si>
  <si>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</si>
  <si>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</si>
  <si>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</si>
  <si>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</si>
  <si>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</si>
  <si>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</si>
  <si>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</si>
  <si>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</si>
  <si>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</si>
  <si>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</si>
  <si>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</si>
  <si>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</si>
  <si>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</si>
  <si>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</si>
  <si>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</si>
  <si>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</si>
  <si>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</si>
  <si>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</si>
  <si>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</si>
  <si>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</si>
  <si>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</si>
  <si>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</si>
  <si>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</si>
  <si>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</si>
  <si>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</si>
  <si>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</si>
  <si>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</si>
  <si>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</si>
  <si>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</si>
  <si>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</si>
  <si>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</si>
  <si>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</si>
  <si>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</si>
  <si>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</si>
  <si>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</si>
  <si>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</si>
  <si>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</si>
  <si>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</si>
  <si>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</si>
  <si>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</si>
  <si>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</si>
  <si>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</si>
  <si>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</si>
  <si>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</si>
  <si>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</si>
  <si>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</si>
  <si>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</si>
  <si>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</si>
  <si>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</si>
  <si>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</si>
  <si>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</si>
  <si>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</si>
  <si>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</si>
  <si>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</si>
  <si>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</si>
  <si>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</si>
  <si>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</si>
  <si>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</si>
  <si>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</si>
  <si>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</si>
  <si>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</si>
  <si>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</si>
  <si>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</si>
  <si>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</si>
  <si>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</si>
  <si>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</si>
  <si>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</si>
  <si>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</si>
  <si>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</si>
  <si>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</si>
  <si>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</si>
  <si>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</si>
  <si>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</si>
  <si>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</si>
  <si>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</si>
  <si>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</si>
  <si>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</si>
  <si>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</si>
  <si>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</si>
  <si>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</si>
  <si>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</si>
  <si>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</si>
  <si>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</si>
  <si>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</si>
  <si>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</si>
  <si>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</si>
  <si>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</si>
  <si>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</si>
  <si>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</si>
  <si>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</si>
  <si>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</si>
  <si>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</si>
  <si>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</si>
  <si>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</si>
  <si>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</si>
  <si>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</si>
  <si>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</si>
  <si>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</si>
  <si>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</si>
  <si>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</si>
  <si>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</si>
  <si>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</si>
  <si>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</si>
  <si>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</si>
  <si>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</si>
  <si>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</si>
  <si>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</si>
  <si>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</si>
  <si>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</si>
  <si>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</si>
  <si>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</si>
  <si>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</si>
  <si>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</si>
  <si>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</si>
  <si>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</si>
  <si>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</si>
  <si>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</si>
  <si>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</si>
  <si>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</si>
  <si>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</si>
  <si>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</si>
  <si>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</si>
  <si>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</si>
  <si>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</si>
  <si>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</si>
  <si>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</si>
  <si>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</si>
  <si>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</si>
  <si>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</si>
  <si>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</si>
  <si>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</si>
  <si>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</si>
  <si>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</si>
  <si>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</si>
  <si>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</si>
  <si>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</si>
  <si>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</si>
  <si>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</si>
  <si>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</si>
  <si>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</si>
  <si>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</si>
  <si>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</si>
  <si>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</si>
  <si>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</si>
  <si>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</si>
  <si>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</si>
  <si>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</si>
  <si>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</si>
  <si>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</si>
  <si>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</si>
  <si>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</si>
  <si>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</si>
  <si>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</si>
  <si>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</si>
  <si>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</si>
  <si>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</si>
  <si>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</si>
  <si>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</si>
  <si>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</si>
  <si>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</si>
  <si>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</si>
  <si>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</si>
  <si>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</si>
  <si>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</si>
  <si>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</si>
  <si>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</si>
  <si>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</si>
  <si>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</si>
  <si>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</si>
  <si>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</si>
  <si>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</si>
  <si>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</si>
  <si>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</si>
  <si>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</si>
  <si>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</si>
  <si>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</si>
  <si>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</si>
  <si>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</si>
  <si>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</si>
  <si>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</si>
  <si>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</si>
  <si>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</si>
  <si>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</si>
  <si>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</si>
  <si>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</si>
  <si>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</si>
  <si>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</si>
  <si>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</si>
  <si>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</si>
  <si>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</si>
  <si>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</si>
  <si>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</si>
  <si>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</si>
  <si>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</si>
  <si>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</si>
  <si>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</si>
  <si>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</si>
  <si>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</si>
  <si>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</si>
  <si>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</si>
  <si>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</si>
  <si>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</si>
  <si>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</si>
  <si>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</si>
  <si>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</si>
  <si>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</si>
  <si>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</si>
  <si>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</si>
  <si>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</si>
  <si>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</si>
  <si>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</si>
  <si>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</si>
  <si>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</si>
  <si>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</si>
  <si>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</si>
  <si>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</si>
  <si>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</si>
  <si>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</si>
  <si>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</si>
  <si>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</si>
  <si>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</si>
  <si>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</si>
  <si>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</si>
  <si>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</si>
  <si>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</si>
  <si>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</si>
  <si>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</si>
  <si>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</si>
  <si>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</si>
  <si>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</si>
  <si>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</si>
  <si>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</si>
  <si>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</si>
  <si>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</si>
  <si>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</si>
  <si>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</si>
  <si>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</si>
  <si>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</si>
  <si>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</si>
  <si>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</si>
  <si>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</si>
  <si>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</si>
  <si>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</si>
  <si>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</si>
  <si>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</si>
  <si>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</si>
  <si>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</si>
  <si>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</si>
  <si>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</si>
  <si>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</si>
  <si>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</si>
  <si>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</si>
  <si>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</si>
  <si>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</si>
  <si>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</si>
  <si>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</si>
  <si>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</si>
  <si>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</si>
  <si>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</si>
  <si>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</si>
  <si>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</si>
  <si>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</si>
  <si>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</si>
  <si>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</si>
  <si>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</si>
  <si>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</si>
  <si>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</si>
  <si>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</si>
  <si>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</si>
  <si>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</si>
  <si>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</si>
  <si>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</si>
  <si>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</si>
  <si>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</si>
  <si>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</si>
  <si>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</si>
  <si>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</si>
  <si>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</si>
  <si>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</si>
  <si>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</si>
  <si>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</si>
  <si>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</si>
  <si>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</si>
  <si>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</si>
  <si>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</si>
  <si>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</si>
  <si>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</si>
  <si>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</si>
  <si>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</si>
  <si>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</si>
  <si>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</si>
  <si>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</si>
  <si>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</si>
  <si>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</si>
  <si>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</si>
  <si>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</si>
  <si>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</si>
  <si>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</si>
  <si>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</si>
  <si>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</si>
  <si>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</si>
  <si>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</si>
  <si>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</si>
  <si>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</si>
  <si>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</si>
  <si>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</si>
  <si>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</si>
  <si>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</si>
  <si>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</si>
  <si>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</si>
  <si>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</si>
  <si>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</si>
  <si>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</si>
  <si>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</si>
  <si>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</si>
  <si>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</si>
  <si>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</si>
  <si>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</si>
  <si>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</si>
  <si>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</si>
  <si>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</si>
  <si>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</si>
  <si>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</si>
  <si>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</si>
  <si>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</si>
  <si>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</si>
  <si>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</si>
  <si>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</si>
  <si>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</si>
  <si>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</si>
  <si>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</si>
  <si>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</si>
  <si>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</si>
  <si>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</si>
  <si>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</si>
  <si>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</si>
  <si>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</si>
  <si>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</si>
  <si>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</si>
  <si>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</si>
  <si>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</si>
  <si>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</si>
  <si>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</si>
  <si>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</si>
  <si>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</si>
  <si>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</si>
  <si>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</si>
  <si>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</si>
  <si>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</si>
  <si>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</si>
  <si>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</si>
  <si>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</si>
  <si>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</si>
  <si>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</si>
  <si>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</si>
  <si>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</si>
  <si>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</si>
  <si>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</si>
  <si>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</si>
  <si>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</si>
  <si>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</si>
  <si>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</si>
  <si>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</si>
  <si>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</si>
  <si>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</si>
  <si>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</si>
  <si>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</si>
  <si>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</si>
  <si>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</si>
  <si>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</si>
  <si>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</si>
  <si>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</si>
  <si>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</si>
  <si>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</si>
  <si>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</si>
  <si>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</si>
  <si>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</si>
  <si>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</si>
  <si>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</si>
  <si>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</si>
  <si>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</si>
  <si>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</si>
  <si>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</si>
  <si>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</si>
  <si>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</si>
  <si>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</si>
  <si>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</si>
  <si>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</si>
  <si>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</si>
  <si>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</si>
  <si>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</si>
  <si>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</si>
  <si>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</si>
  <si>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</si>
  <si>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</si>
  <si>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</si>
  <si>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</si>
  <si>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</si>
  <si>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</si>
  <si>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</si>
  <si>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</si>
  <si>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</si>
  <si>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</si>
  <si>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</si>
  <si>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</si>
  <si>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</si>
  <si>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</si>
  <si>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</si>
  <si>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</si>
  <si>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</si>
  <si>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</si>
  <si>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</si>
  <si>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</si>
  <si>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</si>
  <si>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</si>
  <si>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</si>
  <si>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</si>
  <si>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</si>
  <si>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</si>
  <si>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</si>
  <si>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</si>
  <si>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</si>
  <si>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</si>
  <si>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</si>
  <si>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</si>
  <si>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</si>
  <si>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</si>
  <si>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</si>
  <si>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</si>
  <si>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</si>
  <si>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</si>
  <si>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</si>
  <si>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</si>
  <si>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</si>
  <si>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</si>
  <si>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</si>
  <si>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</si>
  <si>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</si>
  <si>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</si>
  <si>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</si>
  <si>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</si>
  <si>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</si>
  <si>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</si>
  <si>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</si>
  <si>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</si>
  <si>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</si>
  <si>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</si>
  <si>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</si>
  <si>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</si>
  <si>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</si>
  <si>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</si>
  <si>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</si>
  <si>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</si>
  <si>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</si>
  <si>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</si>
  <si>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</si>
  <si>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</si>
  <si>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</si>
  <si>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</si>
  <si>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</si>
  <si>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</si>
  <si>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</si>
  <si>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</si>
  <si>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</si>
  <si>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</si>
  <si>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</si>
  <si>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</si>
  <si>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</si>
  <si>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</si>
  <si>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</si>
  <si>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</si>
  <si>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</si>
  <si>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</si>
  <si>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</si>
  <si>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</si>
  <si>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</si>
  <si>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</si>
  <si>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</si>
  <si>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</si>
  <si>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</si>
  <si>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</si>
  <si>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</si>
  <si>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</si>
  <si>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</si>
  <si>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</si>
  <si>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</si>
  <si>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</si>
  <si>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</si>
  <si>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</si>
  <si>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</si>
  <si>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</si>
  <si>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</si>
  <si>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</si>
  <si>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</si>
  <si>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</si>
  <si>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</si>
  <si>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</si>
  <si>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</si>
  <si>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</si>
  <si>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</si>
  <si>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</si>
  <si>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</si>
  <si>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</si>
  <si>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</si>
  <si>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</si>
  <si>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</si>
  <si>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</si>
  <si>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</si>
  <si>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</si>
  <si>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</si>
  <si>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</si>
  <si>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</si>
  <si>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</si>
  <si>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</si>
  <si>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</si>
  <si>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</si>
  <si>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</si>
  <si>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</si>
  <si>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</si>
  <si>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</si>
  <si>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</si>
  <si>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</si>
  <si>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</si>
  <si>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</si>
  <si>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</si>
  <si>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</si>
  <si>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</si>
  <si>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</si>
  <si>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</si>
  <si>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</si>
  <si>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</si>
  <si>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</si>
  <si>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</si>
  <si>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</si>
  <si>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</si>
  <si>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</si>
  <si>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</si>
  <si>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</si>
  <si>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</si>
  <si>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</si>
  <si>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</si>
  <si>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</si>
  <si>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</si>
  <si>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</si>
  <si>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</si>
  <si>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</si>
  <si>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</si>
  <si>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</si>
  <si>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</si>
  <si>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</si>
  <si>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</si>
  <si>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</si>
  <si>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</si>
  <si>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</si>
  <si>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</si>
  <si>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</si>
  <si>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</si>
  <si>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</si>
  <si>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</si>
  <si>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</si>
  <si>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</si>
  <si>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</si>
  <si>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</si>
  <si>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</si>
  <si>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</si>
  <si>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</si>
  <si>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</si>
  <si>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</si>
  <si>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</si>
  <si>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</si>
  <si>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</si>
  <si>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</si>
  <si>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</si>
  <si>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</si>
  <si>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</si>
  <si>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</si>
  <si>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</si>
  <si>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</si>
  <si>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</si>
  <si>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</si>
  <si>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</si>
  <si>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</si>
  <si>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</si>
  <si>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</si>
  <si>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</si>
  <si>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</si>
  <si>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</si>
  <si>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</si>
  <si>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</si>
  <si>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</si>
  <si>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</si>
  <si>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</si>
  <si>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</si>
  <si>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</si>
  <si>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</si>
  <si>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</si>
  <si>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</si>
  <si>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</si>
  <si>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</si>
  <si>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</si>
  <si>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</si>
  <si>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</si>
  <si>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</si>
  <si>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</si>
  <si>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</si>
  <si>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</si>
  <si>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</si>
  <si>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</si>
  <si>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</si>
  <si>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</si>
  <si>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</si>
  <si>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</si>
  <si>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</si>
  <si>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</si>
  <si>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</si>
  <si>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</si>
  <si>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</si>
  <si>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</si>
  <si>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</si>
  <si>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</si>
  <si>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</si>
  <si>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</si>
  <si>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</si>
  <si>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</si>
  <si>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</si>
  <si>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</si>
  <si>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</si>
  <si>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</si>
  <si>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</si>
  <si>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</si>
  <si>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</si>
  <si>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</si>
  <si>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</si>
  <si>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</si>
  <si>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</si>
  <si>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</si>
  <si>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</si>
  <si>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</si>
  <si>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</si>
  <si>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</si>
  <si>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</si>
  <si>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</si>
  <si>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</si>
  <si>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</si>
  <si>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</si>
  <si>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</si>
  <si>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</si>
  <si>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</si>
  <si>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</si>
  <si>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</si>
  <si>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</si>
  <si>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</si>
  <si>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</si>
  <si>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</si>
  <si>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</si>
  <si>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</si>
  <si>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</si>
  <si>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</si>
  <si>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</si>
  <si>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</si>
  <si>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</si>
  <si>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</si>
  <si>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</si>
  <si>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</si>
  <si>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</si>
  <si>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</si>
  <si>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</si>
  <si>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</si>
  <si>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</si>
  <si>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</si>
  <si>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</si>
  <si>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</si>
  <si>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</si>
  <si>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</si>
  <si>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</si>
  <si>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</si>
  <si>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</si>
  <si>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</si>
  <si>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</si>
  <si>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</si>
  <si>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</si>
  <si>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</si>
  <si>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</si>
  <si>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</si>
  <si>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</si>
  <si>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</si>
  <si>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</si>
  <si>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</si>
  <si>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</si>
  <si>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</si>
  <si>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</si>
  <si>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</si>
  <si>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</si>
  <si>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</si>
  <si>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</si>
  <si>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</si>
  <si>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</si>
  <si>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</si>
  <si>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</si>
  <si>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</si>
  <si>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</si>
  <si>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</si>
  <si>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</si>
  <si>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</si>
  <si>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</si>
  <si>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</si>
  <si>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</si>
  <si>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</si>
  <si>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</si>
  <si>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</si>
  <si>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</si>
  <si>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</si>
  <si>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</si>
  <si>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</si>
  <si>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</si>
  <si>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</si>
  <si>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</si>
  <si>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</si>
  <si>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</si>
  <si>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</si>
  <si>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</si>
  <si>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</si>
  <si>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</si>
  <si>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</si>
  <si>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</si>
  <si>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</si>
  <si>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</si>
  <si>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</si>
  <si>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</si>
  <si>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</si>
  <si>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</si>
  <si>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</si>
  <si>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</si>
  <si>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</si>
  <si>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</si>
  <si>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</si>
  <si>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</si>
  <si>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</si>
  <si>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</si>
  <si>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</si>
  <si>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</si>
  <si>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</si>
  <si>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</si>
  <si>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</si>
  <si>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</si>
  <si>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Scostamento accettabile proposta:</t>
  </si>
  <si>
    <t>Requisiti</t>
  </si>
  <si>
    <t>Cause Escl</t>
  </si>
  <si>
    <t>Mancata adesione alla proposta di concordato nel biennio 2024-2025</t>
  </si>
  <si>
    <t>DA01U-Coltivazioni agricole, silvicoltura ed utilizzo di aree forestali</t>
  </si>
  <si>
    <t>DA02U-Produzione di prodotti animali, caccia e servizi connessi</t>
  </si>
  <si>
    <t>DD03U-Molitoria dei cereali</t>
  </si>
  <si>
    <t>DD04U-Estrazione e lavorazione di pietra, ghiaia, sabbia e altri minerali</t>
  </si>
  <si>
    <t>DD07U-Produzione su misura e in serie di abbigliamento, accessori, biancheria per la casa e lavorazioni connesse</t>
  </si>
  <si>
    <t>DD09U-Produzione di legno e fabbricazione del mobile</t>
  </si>
  <si>
    <t>DD18U-Fabbricazione prodotti in ceramica e terracotta</t>
  </si>
  <si>
    <t>DD20U-Fabbricazione e lavorazione di prodotti in metallo</t>
  </si>
  <si>
    <t>DD21U-Produzione di occhialeria e strumenti ottici</t>
  </si>
  <si>
    <t>DD24U-Produzione e commercio al dettaglio di pellicceria e di abbigliamento in pelle</t>
  </si>
  <si>
    <t>DD25U-Concia delle pelli e del cuoio</t>
  </si>
  <si>
    <t>DD29U-Produzione di calcestruzzo e di altri prodotti per l'edilizia</t>
  </si>
  <si>
    <t>DD30U-Recupero e preparazione per riciclaggio e commercio all'ingrosso di rottami metallici</t>
  </si>
  <si>
    <t>DD32U-Fabbricazione, installazione e riparazione di macchine e apparecchi meccanici</t>
  </si>
  <si>
    <t>DD35U-Editoria, prestampa, stampa e legatoria</t>
  </si>
  <si>
    <t>DD40U-Fabbricazione di prodotti elettrotecnici ed elettronici</t>
  </si>
  <si>
    <t>DD45U-Lavorazione di tè, lavorazione e commercio all'ingrosso di caffè</t>
  </si>
  <si>
    <t>DD46U-Fabbricazione di prodotti chimici</t>
  </si>
  <si>
    <t>DD47U-Fabbricazione di articoli in carta e cartone</t>
  </si>
  <si>
    <t>DD48U-Produzione di prodotti alimentari nca</t>
  </si>
  <si>
    <t>DD49U-Industria delle bevande</t>
  </si>
  <si>
    <t>DD50U-Produzione tessile nca</t>
  </si>
  <si>
    <t>DD51U-Attività manifatturiere ed estrattive nca</t>
  </si>
  <si>
    <t>DD52U-Fornitura di energia elettrica, gas, acqua, vapore e aria condizionata e gestione di reti fognarie, attività di risanamento e altre attività di gestione dei rifiuti</t>
  </si>
  <si>
    <t>DG01U-Attività relative ai trasporti nca</t>
  </si>
  <si>
    <t>DG02U-Attività agrituristiche</t>
  </si>
  <si>
    <t>DG03U-Servizi di informazione e comunicazione nca</t>
  </si>
  <si>
    <t>DG04U-Gestione di spazi culturali, sportivi e ricreativi nca</t>
  </si>
  <si>
    <t>DG05U-Servizi di telecomunicazioni e attività connesse nca</t>
  </si>
  <si>
    <t>DG06U-Attività finanziarie e assicurative nca</t>
  </si>
  <si>
    <t>DG07U-Attività di associazioni e organizzazioni</t>
  </si>
  <si>
    <t>DG08U-Ricerca e sviluppo</t>
  </si>
  <si>
    <t>DG09U-Noleggio nca</t>
  </si>
  <si>
    <t>DG10U-Servizi di istruzione nca</t>
  </si>
  <si>
    <t>DG11U-Attività ospedaliere, trasporto di pazienti in ambulanza</t>
  </si>
  <si>
    <t>DG12U-Servizi di assistenza residenziale</t>
  </si>
  <si>
    <t>DG13U-Servizi di assistenza non residenziale</t>
  </si>
  <si>
    <t>DG15U-Servizi nca</t>
  </si>
  <si>
    <t>DG33U-Servizi estetici e per il benessere fisico</t>
  </si>
  <si>
    <t>DG41U-Ricerche di mercato e sondaggi di opinione</t>
  </si>
  <si>
    <t>DG48U-Riparazione di elettrodomestici e di prodotti di consumo audio e video</t>
  </si>
  <si>
    <t>DG51U-Conservazione e restauro di opere d'arte</t>
  </si>
  <si>
    <t>DG53U-Servizi linguistici e organizzazione di convegni e fiere</t>
  </si>
  <si>
    <t>DG54U-Sale giochi e gestione di apparecchi automatici da intrattenimento</t>
  </si>
  <si>
    <t>DG57U-Laboratori di analisi cliniche e ambulatori</t>
  </si>
  <si>
    <t>DG66U-Software house, riparazione di macchine per ufficio ed altri servizi connessi all'Information Technology</t>
  </si>
  <si>
    <t>DG67U-Tintorie e lavanderie</t>
  </si>
  <si>
    <t>DG70U-Servizi di pulizia e di cura e manutenzione delle aree verdi</t>
  </si>
  <si>
    <t>DG72U-Trasporto terrestre di passeggeri</t>
  </si>
  <si>
    <t>DG73U-Magazzinaggio, movimentazione merci e altre attività connesse al trasporto</t>
  </si>
  <si>
    <t>DG76U-Servizi di ristorazione collettiva</t>
  </si>
  <si>
    <t>DG81U-Noleggio di macchine e attrezzature per l'edilizia</t>
  </si>
  <si>
    <t>DG82U-Servizi pubblicitari, relazioni pubbliche e comunicazione</t>
  </si>
  <si>
    <t>DG85U-Discoteche, sale da ballo e scuole di danza</t>
  </si>
  <si>
    <t>DG87U-Consulenza finanziaria, amministrativo-gestionale e agenzie di informazioni commerciali</t>
  </si>
  <si>
    <t>DG90U-Attività di pesca e acquacoltura</t>
  </si>
  <si>
    <t>DG91U-Attività ausiliarie dei servizi finanziari e assicurativi</t>
  </si>
  <si>
    <t>DG92U-Servizi forniti da revisori contabili, periti, consulenti ed altri soggetti che svolgono attività in materia di amministrazione, contabilità e tributi (attività di impresa)</t>
  </si>
  <si>
    <t>DG93U-Attività degli studi di design</t>
  </si>
  <si>
    <t>DG94U-Produzioni e distribuzioni cinematografiche e di video, attività radiotelevisive</t>
  </si>
  <si>
    <t>DG98U-Riparazione beni consumo nca</t>
  </si>
  <si>
    <t>DG99U-Altri servizi a imprese e famiglie</t>
  </si>
  <si>
    <t>DK10U-Studi medici e laboratori di analisi cliniche</t>
  </si>
  <si>
    <t>DK26U-Attività delle guide e degli accompagnatori turistici e in ambiente naturale</t>
  </si>
  <si>
    <t>DK27U-Attività professionali relative all'informatica</t>
  </si>
  <si>
    <t>DK28U-Attività nel campo della recitazione, della regia e altre creazioni artistiche e letterarie</t>
  </si>
  <si>
    <t>DK30U-Altre attività tecniche, scientifiche e professionali nca</t>
  </si>
  <si>
    <t>DM01U-Commercio al dettaglio alimentare</t>
  </si>
  <si>
    <t>DM04U-Farmacie</t>
  </si>
  <si>
    <t>DM09U-Commercio di autoveicoli, motocicli e ciclomotori</t>
  </si>
  <si>
    <t>DM10U-Commercio di parti e accessori di autoveicoli e motoveicoli</t>
  </si>
  <si>
    <t>DM18B-Commercio all'ingrosso di animali vivi</t>
  </si>
  <si>
    <t>DM19U-Commercio all'ingrosso di abbigliamento, calzature, pelletteria e pelli</t>
  </si>
  <si>
    <t>DM21U-Commercio all'ingrosso alimentare</t>
  </si>
  <si>
    <t>DM22A-Commercio all'ingrosso di elettrodomestici e casalinghi</t>
  </si>
  <si>
    <t>DM25U-Commercio all'ingrosso di giochi, giocattoli, articoli sportivi</t>
  </si>
  <si>
    <t>DM28U-Commercio al dettaglio di tessuti, filati e articoli di merceria</t>
  </si>
  <si>
    <t>DM29U-Commercio al dettaglio di mobili</t>
  </si>
  <si>
    <t>DM32U-Commercio al dettaglio di oggetti d'arte e di antiquariato, di culto e di decorazione, chincaglieria, bigiotteria, bomboniere, articoli da regalo e per fumatori e strumenti musicali</t>
  </si>
  <si>
    <t>DM36U-Commercio all'ingrosso di libri, riviste e giornali</t>
  </si>
  <si>
    <t>DM41U-Commercio all'ingrosso di macchine e attrezzature per ufficio</t>
  </si>
  <si>
    <t>DM46U-Commercio all'ingrosso di articoli per fotografia, cinematografia, ottica e strumenti scientifici</t>
  </si>
  <si>
    <t>DM47U-Commercio al dettaglio di natanti e forniture di bordo</t>
  </si>
  <si>
    <t>DM80U-Commercio al dettaglio di carburanti per autotrazione</t>
  </si>
  <si>
    <t>DM82U-Commercio all'ingrosso di metalli</t>
  </si>
  <si>
    <t>DM83U-Commercio all'ingrosso di prodotti chimici</t>
  </si>
  <si>
    <t>EG14U-Attività sportive e di intrattenimento nca</t>
  </si>
  <si>
    <t>EG61U-Intermediari del commercio e dei servizi</t>
  </si>
  <si>
    <t>EM02U-Commercio al dettaglio di carni</t>
  </si>
  <si>
    <t>EM05U-Commercio al dettaglio di abbigliamento, calzature, pelletterie ed accessori</t>
  </si>
  <si>
    <t>EM06A-Commercio al dettaglio di elettrodomestici, casalinghi e attrezzature per bambini</t>
  </si>
  <si>
    <t>EM08U-Commercio al dettaglio di giochi, giocattoli, articoli sportivi</t>
  </si>
  <si>
    <t>EM11U-Commercio all'ingrosso e al dettaglio di ferramenta ed utensileria, termoidraulica, legname, materiali da costruzione, piastrelle, pavimenti e prodotti vernicianti</t>
  </si>
  <si>
    <t>EM12U-Commercio al dettaglio di libri</t>
  </si>
  <si>
    <t>EM15A-Commercio al dettaglio e riparazione di orologi e gioielli</t>
  </si>
  <si>
    <t>EM15B-Commercio al dettaglio di materiale per ottica, fotografia, cinematografia, strumenti di precisione</t>
  </si>
  <si>
    <t>EM16U-Commercio al dettaglio di articoli di profumeria, per l'igiene personale e della casa</t>
  </si>
  <si>
    <t>EM20U-Commercio al dettaglio di articoli di cartoleria e forniture per ufficio</t>
  </si>
  <si>
    <t>EM35U-Erboristerie</t>
  </si>
  <si>
    <t>EM40A-Commercio al dettaglio di fiori e piante</t>
  </si>
  <si>
    <t>EM48U-Commercio al dettaglio di animali da compagnia e alimenti per animali da compagnia</t>
  </si>
  <si>
    <t>EM87U-Commercio al dettaglio di altri prodotti nca</t>
  </si>
  <si>
    <t>Studi.Data.Column1</t>
  </si>
  <si>
    <t>Valore della produzione anno precedente</t>
  </si>
  <si>
    <t>Incremento 2025</t>
  </si>
  <si>
    <t>Incremento 2026</t>
  </si>
  <si>
    <t>Voto ISA 2024:</t>
  </si>
  <si>
    <r>
      <rPr>
        <b/>
        <sz val="8"/>
        <color theme="1"/>
        <rFont val="Verdana"/>
        <family val="2"/>
      </rPr>
      <t>Ambito  soggettivo:</t>
    </r>
    <r>
      <rPr>
        <sz val="8"/>
        <color theme="1"/>
        <rFont val="Verdana"/>
        <family val="2"/>
      </rPr>
      <t xml:space="preserve"> Ai sensi dell’articolo 7 del D.Lgs. 81/2025 (correttivo al D.Lgs. 13/2024), a decorrere dal 1° gennaio 2025 l’accesso al concordato preventivo biennale è riservato esclusivamente ai soggetti che applicano gli ISA.</t>
    </r>
  </si>
  <si>
    <r>
      <rPr>
        <b/>
        <sz val="8"/>
        <color theme="1"/>
        <rFont val="Verdana"/>
        <family val="2"/>
      </rPr>
      <t>Limite redditi esenti/non imponibili</t>
    </r>
    <r>
      <rPr>
        <sz val="8"/>
        <color theme="1"/>
        <rFont val="Verdana"/>
        <family val="2"/>
      </rPr>
      <t xml:space="preserve">
Il contribuente non può aderire se, nel periodo d’imposta precedente (2024), ha conseguito redditi esenti o soggetti a ritenuta a titolo d’imposta o a imposta sostitutiva in misura superiore al 40% del reddito d'impresa o autonomo.</t>
    </r>
  </si>
  <si>
    <t>Reddito di impresa\professionale da dichiarazione anno precedente normalizzato da Agenzia Entrate</t>
  </si>
  <si>
    <t>Dati Anagrafici</t>
  </si>
  <si>
    <t>Imponibile imposta sostitutiva</t>
  </si>
  <si>
    <t>Imponibile imposta Ordinaria</t>
  </si>
  <si>
    <t>Imposta sostitutiva</t>
  </si>
  <si>
    <t>Imposta ordinaria</t>
  </si>
  <si>
    <t>Maggior IRAP rispetto a ultima dichiarazione</t>
  </si>
  <si>
    <t>Costo Adesione a parità di reddito e di valore della produzione</t>
  </si>
  <si>
    <t>Reddito previsto</t>
  </si>
  <si>
    <t>Reddito incrementale</t>
  </si>
  <si>
    <t>(Costo adesione)</t>
  </si>
  <si>
    <t>Maggiore IRES</t>
  </si>
  <si>
    <t>Totale convenienza</t>
  </si>
  <si>
    <t>Condizioni per l'Adesione</t>
  </si>
  <si>
    <t>Dati da Dichiarazione anno 2024</t>
  </si>
  <si>
    <t>Calcolo costo dell'Adesione</t>
  </si>
  <si>
    <t>Simulazione di Convenienza</t>
  </si>
  <si>
    <t>Mario Rossi S.r.l.</t>
  </si>
  <si>
    <t>Costo professionale della pratica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</si>
</sst>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\ _€_-;\-* #,##0.00\ _€_-;_-* &quot;-&quot;??\ _€_-;_-@_-"/>
    <numFmt numFmtId="165" formatCode="#,##0.00_ ;[Red]\-#,##0.00\ "/>
    <numFmt numFmtId="166" formatCode="&quot;Risparmio da CPB&quot;\ #,##0;[Black]\ &quot;Maggior costo da CPB&quot;\ #,##0"/>
    <numFmt numFmtId="168" formatCode="_-* #,##0_-;\-* #,##0_-;_-* &quot;-&quot;??_-;_-@_-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0"/>
      <name val="Arial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sz val="8"/>
      <color theme="0"/>
      <name val="Verdana"/>
      <family val="2"/>
    </font>
    <font>
      <sz val="8"/>
      <color theme="0"/>
      <name val="Verdana"/>
      <family val="2"/>
    </font>
    <font>
      <b/>
      <sz val="8"/>
      <color rgb="FFFF0000"/>
      <name val="Verdana"/>
      <family val="2"/>
    </font>
    <font>
      <u/>
      <sz val="8"/>
      <color theme="10"/>
      <name val="Verdana"/>
      <family val="2"/>
    </font>
    <font>
      <b/>
      <sz val="14"/>
      <color theme="1"/>
      <name val="Georgia"/>
      <family val="1"/>
    </font>
    <font>
      <b/>
      <i/>
      <sz val="8"/>
      <color theme="1"/>
      <name val="Verdana"/>
      <family val="2"/>
    </font>
    <font>
      <i/>
      <sz val="8"/>
      <color theme="1"/>
      <name val="Verdana"/>
      <family val="2"/>
    </font>
    <font>
      <sz val="8"/>
      <color theme="3" tint="0.74999237037263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43" fontId="0" fillId="0" borderId="0" xfId="1" applyFont="1"/>
    <xf numFmtId="9" fontId="0" fillId="0" borderId="0" xfId="2" applyFont="1"/>
    <xf numFmtId="0" fontId="5" fillId="0" borderId="0" xfId="0" applyFont="1"/>
    <xf numFmtId="0" fontId="6" fillId="0" borderId="0" xfId="0" applyFont="1"/>
    <xf numFmtId="9" fontId="6" fillId="0" borderId="0" xfId="2" applyFont="1"/>
    <xf numFmtId="0" fontId="7" fillId="0" borderId="0" xfId="0" applyFont="1"/>
    <xf numFmtId="0" fontId="7" fillId="3" borderId="0" xfId="0" applyFont="1" applyFill="1"/>
    <xf numFmtId="0" fontId="8" fillId="0" borderId="0" xfId="0" applyFont="1"/>
    <xf numFmtId="0" fontId="9" fillId="4" borderId="0" xfId="0" applyFont="1" applyFill="1" applyAlignment="1">
      <alignment horizontal="right"/>
    </xf>
    <xf numFmtId="0" fontId="10" fillId="4" borderId="0" xfId="0" applyFont="1" applyFill="1" applyProtection="1">
      <protection locked="0"/>
    </xf>
    <xf numFmtId="9" fontId="9" fillId="0" borderId="0" xfId="2" applyFont="1" applyAlignment="1">
      <alignment horizontal="left"/>
    </xf>
    <xf numFmtId="0" fontId="10" fillId="4" borderId="0" xfId="0" applyFont="1" applyFill="1"/>
    <xf numFmtId="0" fontId="10" fillId="0" borderId="0" xfId="0" applyFont="1" applyProtection="1">
      <protection locked="0"/>
    </xf>
    <xf numFmtId="0" fontId="8" fillId="0" borderId="0" xfId="0" applyFont="1" applyAlignment="1">
      <alignment horizontal="right"/>
    </xf>
    <xf numFmtId="0" fontId="7" fillId="2" borderId="0" xfId="0" applyFont="1" applyFill="1" applyProtection="1">
      <protection locked="0"/>
    </xf>
    <xf numFmtId="9" fontId="8" fillId="0" borderId="0" xfId="2" applyFont="1" applyAlignment="1">
      <alignment horizontal="left"/>
    </xf>
    <xf numFmtId="0" fontId="7" fillId="2" borderId="0" xfId="0" applyFont="1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0" xfId="0" applyFont="1" applyAlignment="1">
      <alignment horizontal="left" vertical="top" wrapText="1"/>
    </xf>
    <xf numFmtId="0" fontId="11" fillId="0" borderId="0" xfId="0" applyFont="1"/>
    <xf numFmtId="0" fontId="7" fillId="0" borderId="0" xfId="0" applyFont="1" applyAlignment="1">
      <alignment vertical="top" wrapText="1"/>
    </xf>
    <xf numFmtId="0" fontId="7" fillId="0" borderId="0" xfId="0" applyFont="1" applyAlignment="1">
      <alignment vertical="center" wrapText="1"/>
    </xf>
    <xf numFmtId="0" fontId="12" fillId="0" borderId="0" xfId="3" applyFont="1" applyFill="1" applyAlignment="1">
      <alignment vertical="top" wrapText="1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12" fillId="0" borderId="0" xfId="3" applyFont="1"/>
    <xf numFmtId="4" fontId="7" fillId="2" borderId="3" xfId="1" applyNumberFormat="1" applyFont="1" applyFill="1" applyBorder="1" applyProtection="1">
      <protection locked="0"/>
    </xf>
    <xf numFmtId="4" fontId="7" fillId="2" borderId="4" xfId="2" applyNumberFormat="1" applyFont="1" applyFill="1" applyBorder="1" applyProtection="1">
      <protection locked="0"/>
    </xf>
    <xf numFmtId="4" fontId="7" fillId="0" borderId="1" xfId="0" applyNumberFormat="1" applyFont="1" applyBorder="1"/>
    <xf numFmtId="3" fontId="7" fillId="0" borderId="0" xfId="0" applyNumberFormat="1" applyFont="1"/>
    <xf numFmtId="9" fontId="7" fillId="0" borderId="0" xfId="2" applyFont="1"/>
    <xf numFmtId="9" fontId="7" fillId="0" borderId="0" xfId="0" applyNumberFormat="1" applyFont="1"/>
    <xf numFmtId="0" fontId="13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/>
    <xf numFmtId="0" fontId="10" fillId="5" borderId="0" xfId="0" applyFont="1" applyFill="1" applyProtection="1">
      <protection locked="0"/>
    </xf>
    <xf numFmtId="0" fontId="8" fillId="5" borderId="0" xfId="0" applyFont="1" applyFill="1" applyAlignment="1">
      <alignment horizontal="right"/>
    </xf>
    <xf numFmtId="0" fontId="7" fillId="5" borderId="0" xfId="0" applyFont="1" applyFill="1" applyAlignment="1">
      <alignment vertical="center" wrapText="1"/>
    </xf>
    <xf numFmtId="0" fontId="13" fillId="0" borderId="0" xfId="0" applyFont="1" applyAlignment="1">
      <alignment vertical="center"/>
    </xf>
    <xf numFmtId="4" fontId="7" fillId="0" borderId="0" xfId="0" applyNumberFormat="1" applyFont="1"/>
    <xf numFmtId="4" fontId="7" fillId="0" borderId="0" xfId="1" applyNumberFormat="1" applyFont="1" applyFill="1" applyBorder="1" applyProtection="1">
      <protection locked="0"/>
    </xf>
    <xf numFmtId="4" fontId="7" fillId="0" borderId="0" xfId="2" applyNumberFormat="1" applyFont="1" applyFill="1" applyBorder="1" applyProtection="1">
      <protection locked="0"/>
    </xf>
    <xf numFmtId="4" fontId="7" fillId="5" borderId="0" xfId="1" applyNumberFormat="1" applyFont="1" applyFill="1" applyBorder="1" applyProtection="1">
      <protection locked="0"/>
    </xf>
    <xf numFmtId="4" fontId="7" fillId="5" borderId="0" xfId="2" applyNumberFormat="1" applyFont="1" applyFill="1" applyBorder="1" applyProtection="1">
      <protection locked="0"/>
    </xf>
    <xf numFmtId="4" fontId="7" fillId="5" borderId="0" xfId="0" applyNumberFormat="1" applyFont="1" applyFill="1"/>
    <xf numFmtId="9" fontId="8" fillId="5" borderId="0" xfId="2" applyFont="1" applyFill="1" applyAlignment="1">
      <alignment horizontal="left"/>
    </xf>
    <xf numFmtId="9" fontId="8" fillId="0" borderId="0" xfId="2" applyFont="1" applyFill="1" applyAlignment="1">
      <alignment horizontal="left"/>
    </xf>
    <xf numFmtId="0" fontId="8" fillId="0" borderId="6" xfId="0" applyFont="1" applyBorder="1"/>
    <xf numFmtId="0" fontId="7" fillId="0" borderId="6" xfId="0" applyFont="1" applyBorder="1"/>
    <xf numFmtId="0" fontId="14" fillId="0" borderId="0" xfId="0" applyFont="1"/>
    <xf numFmtId="0" fontId="15" fillId="0" borderId="0" xfId="0" applyFont="1"/>
    <xf numFmtId="3" fontId="15" fillId="0" borderId="0" xfId="0" applyNumberFormat="1" applyFont="1"/>
    <xf numFmtId="0" fontId="14" fillId="0" borderId="0" xfId="0" applyFont="1" applyAlignment="1">
      <alignment horizontal="right"/>
    </xf>
    <xf numFmtId="9" fontId="15" fillId="0" borderId="0" xfId="2" applyFont="1" applyFill="1"/>
    <xf numFmtId="4" fontId="7" fillId="0" borderId="0" xfId="1" applyNumberFormat="1" applyFont="1" applyFill="1" applyBorder="1" applyProtection="1"/>
    <xf numFmtId="4" fontId="7" fillId="0" borderId="0" xfId="2" applyNumberFormat="1" applyFont="1" applyFill="1" applyBorder="1" applyProtection="1"/>
    <xf numFmtId="165" fontId="7" fillId="0" borderId="0" xfId="1" applyNumberFormat="1" applyFont="1" applyFill="1" applyBorder="1" applyProtection="1"/>
    <xf numFmtId="4" fontId="8" fillId="0" borderId="6" xfId="1" applyNumberFormat="1" applyFont="1" applyFill="1" applyBorder="1" applyProtection="1"/>
    <xf numFmtId="0" fontId="16" fillId="0" borderId="0" xfId="0" applyFont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" borderId="0" xfId="1" applyNumberFormat="1" applyFont="1" applyFill="1" applyBorder="1" applyProtection="1"/>
    <xf numFmtId="166" fontId="8" fillId="6" borderId="7" xfId="1" applyNumberFormat="1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7" fillId="2" borderId="0" xfId="0" applyFont="1" applyFill="1" applyAlignment="1" applyProtection="1">
      <alignment horizontal="center"/>
      <protection locked="0"/>
    </xf>
    <xf numFmtId="0" fontId="7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8" fontId="7" fillId="2" borderId="0" xfId="1" applyNumberFormat="1" applyFont="1" applyFill="1" applyProtection="1">
      <protection locked="0"/>
    </xf>
    <xf numFmtId="3" fontId="7" fillId="2" borderId="3" xfId="1" applyNumberFormat="1" applyFont="1" applyFill="1" applyBorder="1" applyProtection="1">
      <protection locked="0"/>
    </xf>
    <xf numFmtId="3" fontId="7" fillId="2" borderId="4" xfId="2" applyNumberFormat="1" applyFont="1" applyFill="1" applyBorder="1" applyProtection="1">
      <protection locked="0"/>
    </xf>
    <xf numFmtId="3" fontId="7" fillId="2" borderId="2" xfId="1" applyNumberFormat="1" applyFont="1" applyFill="1" applyBorder="1" applyProtection="1">
      <protection locked="0"/>
    </xf>
    <xf numFmtId="3" fontId="7" fillId="2" borderId="5" xfId="2" applyNumberFormat="1" applyFont="1" applyFill="1" applyBorder="1" applyProtection="1">
      <protection locked="0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13">
    <dxf>
      <fill>
        <patternFill>
          <bgColor theme="9" tint="0.59996337778862885"/>
        </patternFill>
      </fill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ill>
        <patternFill>
          <bgColor theme="9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7</xdr:row>
          <xdr:rowOff>0</xdr:rowOff>
        </xdr:from>
        <xdr:to>
          <xdr:col>5</xdr:col>
          <xdr:colOff>12700</xdr:colOff>
          <xdr:row>8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11</xdr:col>
      <xdr:colOff>777046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0" y="0"/>
          <a:ext cx="14029496" cy="836779"/>
          <a:chOff x="641043" y="0"/>
          <a:chExt cx="14635236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41043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4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r>
              <a:rPr lang="it-IT" sz="2400" b="1" i="1" cap="none" spc="0" baseline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 2025-2026</a:t>
            </a:r>
            <a:endParaRPr lang="it-IT" sz="7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45312" y="145766"/>
            <a:ext cx="2230967" cy="62653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616324</xdr:colOff>
      <xdr:row>2</xdr:row>
      <xdr:rowOff>89646</xdr:rowOff>
    </xdr:from>
    <xdr:to>
      <xdr:col>27</xdr:col>
      <xdr:colOff>32941</xdr:colOff>
      <xdr:row>30</xdr:row>
      <xdr:rowOff>33616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6A78740B-4F2A-F06F-49BD-5155AC3FD239}"/>
            </a:ext>
          </a:extLst>
        </xdr:cNvPr>
        <xdr:cNvGrpSpPr/>
      </xdr:nvGrpSpPr>
      <xdr:grpSpPr>
        <a:xfrm>
          <a:off x="14706974" y="984996"/>
          <a:ext cx="9322617" cy="4649320"/>
          <a:chOff x="6432177" y="1187824"/>
          <a:chExt cx="8773529" cy="4560794"/>
        </a:xfrm>
      </xdr:grpSpPr>
      <xdr:pic>
        <xdr:nvPicPr>
          <xdr:cNvPr id="3" name="Immagine 2">
            <a:extLst>
              <a:ext uri="{FF2B5EF4-FFF2-40B4-BE49-F238E27FC236}">
                <a16:creationId xmlns:a16="http://schemas.microsoft.com/office/drawing/2014/main" id="{ECBAC5E9-D5A2-3164-01AB-5C11C7A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32177" y="1187824"/>
            <a:ext cx="8773529" cy="4560794"/>
          </a:xfrm>
          <a:prstGeom prst="rect">
            <a:avLst/>
          </a:prstGeom>
        </xdr:spPr>
      </xdr:pic>
      <xdr:sp macro="" textlink="I$31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3016866" y="2948029"/>
            <a:ext cx="1024106" cy="1776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96E4237-3231-48AC-91B3-135B6E682A2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1.000.000 </a:t>
            </a:fld>
            <a:endParaRPr lang="it-IT" sz="1100" b="0"/>
          </a:p>
        </xdr:txBody>
      </xdr:sp>
      <xdr:sp macro="" textlink="$I$33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3011374" y="3143876"/>
            <a:ext cx="1052008" cy="169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1.800.000 </a:t>
            </a:fld>
            <a:endParaRPr lang="it-IT" sz="1100" b="0"/>
          </a:p>
        </xdr:txBody>
      </xdr:sp>
      <xdr:sp macro="" textlink="$AD$6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4036281" y="1596999"/>
            <a:ext cx="217601" cy="1819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8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069903" y="2175830"/>
            <a:ext cx="195185" cy="1775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36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3008523" y="3697791"/>
            <a:ext cx="1069522" cy="1718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1.200.000</a:t>
            </a:fld>
            <a:endParaRPr lang="it-IT" sz="1100" b="0"/>
          </a:p>
        </xdr:txBody>
      </xdr:sp>
      <xdr:sp macro="" textlink="$I$36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3008523" y="3891160"/>
            <a:ext cx="1069522" cy="1676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1.250.000</a:t>
            </a:fld>
            <a:endParaRPr lang="it-IT" sz="1100" b="0"/>
          </a:p>
        </xdr:txBody>
      </xdr:sp>
      <xdr:sp macro="" textlink="$H$37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3019728" y="4080775"/>
            <a:ext cx="1069522" cy="20840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2.000.000</a:t>
            </a:fld>
            <a:endParaRPr lang="it-IT" sz="1100" b="0"/>
          </a:p>
        </xdr:txBody>
      </xdr:sp>
      <xdr:sp macro="" textlink="$I$37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3019727" y="4270394"/>
            <a:ext cx="1069522" cy="1688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2.300.000</a:t>
            </a:fld>
            <a:endParaRPr lang="it-IT" sz="1100" b="0"/>
          </a:p>
        </xdr:txBody>
      </xdr:sp>
    </xdr:grpSp>
    <xdr:clientData/>
  </xdr:twoCellAnchor>
  <xdr:twoCellAnchor>
    <xdr:from>
      <xdr:col>12</xdr:col>
      <xdr:colOff>577781</xdr:colOff>
      <xdr:row>0</xdr:row>
      <xdr:rowOff>129792</xdr:rowOff>
    </xdr:from>
    <xdr:to>
      <xdr:col>14</xdr:col>
      <xdr:colOff>598715</xdr:colOff>
      <xdr:row>0</xdr:row>
      <xdr:rowOff>749441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BFFFB5F9-EEB7-5AC2-9606-462D6FAD5D84}"/>
            </a:ext>
          </a:extLst>
        </xdr:cNvPr>
        <xdr:cNvSpPr/>
      </xdr:nvSpPr>
      <xdr:spPr>
        <a:xfrm>
          <a:off x="14846440" y="129792"/>
          <a:ext cx="1611923" cy="61964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Art. 7 D. Lgs. 81/2025</a:t>
          </a:r>
        </a:p>
      </xdr:txBody>
    </xdr:sp>
    <xdr:clientData/>
  </xdr:twoCellAnchor>
  <xdr:twoCellAnchor>
    <xdr:from>
      <xdr:col>15</xdr:col>
      <xdr:colOff>20934</xdr:colOff>
      <xdr:row>0</xdr:row>
      <xdr:rowOff>129792</xdr:rowOff>
    </xdr:from>
    <xdr:to>
      <xdr:col>17</xdr:col>
      <xdr:colOff>334946</xdr:colOff>
      <xdr:row>0</xdr:row>
      <xdr:rowOff>749441</xdr:rowOff>
    </xdr:to>
    <xdr:sp macro="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6A58A1CE-F410-4845-A326-AB60D243826A}"/>
            </a:ext>
          </a:extLst>
        </xdr:cNvPr>
        <xdr:cNvSpPr/>
      </xdr:nvSpPr>
      <xdr:spPr>
        <a:xfrm>
          <a:off x="16529539" y="129792"/>
          <a:ext cx="1611923" cy="61964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D. Lgs. 13/2024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9" name="Studi.Data.Column1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12" dataCellStyle="Migliaia"/>
    <tableColumn id="4" xr3:uid="{E48260AF-7B77-4FAC-8515-927E5E767853}" name="Coefficiente" dataDxfId="11" dataCellStyle="Percentuale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2" tableType="queryTable" totalsRowShown="0">
  <autoFilter ref="A3:H202" xr:uid="{D5D36DA9-0B66-430C-A3B1-3A4802AB3203}"/>
  <tableColumns count="8">
    <tableColumn id="1" xr3:uid="{B88902E4-5857-4FD0-86CF-2DB9CA22AC47}" uniqueName="1" name="Studi.Data.Column1" queryTableFieldId="9" dataDxfId="10"/>
    <tableColumn id="2" xr3:uid="{BA3FED00-90F3-463F-BEEC-54DB3AF40463}" uniqueName="2" name="Tipologia reddito" queryTableFieldId="2" dataDxfId="9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 dataDxfId="8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34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workbookViewId="0">
      <selection activeCell="D32" sqref="D32"/>
    </sheetView>
  </sheetViews>
  <sheetFormatPr defaultRowHeight="14.5" x14ac:dyDescent="0.35"/>
  <sheetData>
    <row r="5" spans="4:4" x14ac:dyDescent="0.35">
      <c r="D5" t="s">
        <v>0</v>
      </c>
    </row>
    <row r="6" spans="4:4" x14ac:dyDescent="0.35">
      <c r="D6" t="s">
        <v>1</v>
      </c>
    </row>
    <row r="8" spans="4:4" x14ac:dyDescent="0.35">
      <c r="D8" t="s">
        <v>2</v>
      </c>
    </row>
    <row r="10" spans="4:4" x14ac:dyDescent="0.35">
      <c r="D10" t="s">
        <v>3</v>
      </c>
    </row>
    <row r="12" spans="4:4" x14ac:dyDescent="0.35">
      <c r="D12" t="s">
        <v>4</v>
      </c>
    </row>
    <row r="14" spans="4:4" x14ac:dyDescent="0.35">
      <c r="D14" t="s">
        <v>5</v>
      </c>
    </row>
    <row r="16" spans="4:4" x14ac:dyDescent="0.35">
      <c r="D16" t="s">
        <v>6</v>
      </c>
    </row>
    <row r="18" spans="4:4" x14ac:dyDescent="0.35">
      <c r="D18" t="s">
        <v>7</v>
      </c>
    </row>
    <row r="20" spans="4:4" x14ac:dyDescent="0.35">
      <c r="D20" t="s">
        <v>8</v>
      </c>
    </row>
    <row r="23" spans="4:4" x14ac:dyDescent="0.35">
      <c r="D23" t="s">
        <v>9</v>
      </c>
    </row>
    <row r="24" spans="4:4" x14ac:dyDescent="0.35">
      <c r="D24" t="s">
        <v>10</v>
      </c>
    </row>
    <row r="28" spans="4:4" x14ac:dyDescent="0.35">
      <c r="D28" t="s">
        <v>11</v>
      </c>
    </row>
    <row r="32" spans="4:4" x14ac:dyDescent="0.35">
      <c r="D32" t="s">
        <v>12</v>
      </c>
    </row>
    <row r="37" spans="4:4" x14ac:dyDescent="0.35">
      <c r="D37" t="s">
        <v>13</v>
      </c>
    </row>
    <row r="38" spans="4:4" x14ac:dyDescent="0.35">
      <c r="D38" t="s">
        <v>14</v>
      </c>
    </row>
    <row r="39" spans="4:4" x14ac:dyDescent="0.35">
      <c r="D39" t="s">
        <v>15</v>
      </c>
    </row>
    <row r="40" spans="4:4" x14ac:dyDescent="0.35">
      <c r="D40" t="s">
        <v>16</v>
      </c>
    </row>
    <row r="41" spans="4:4" x14ac:dyDescent="0.35">
      <c r="D41" t="s">
        <v>17</v>
      </c>
    </row>
    <row r="42" spans="4:4" x14ac:dyDescent="0.3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A1:AD165"/>
  <sheetViews>
    <sheetView showGridLines="0" showRowColHeaders="0" showZeros="0" tabSelected="1" zoomScaleNormal="100" workbookViewId="0">
      <selection activeCell="H37" sqref="H37"/>
    </sheetView>
  </sheetViews>
  <sheetFormatPr defaultColWidth="0" defaultRowHeight="10" zeroHeight="1" x14ac:dyDescent="0.2"/>
  <cols>
    <col min="1" max="1" width="4.54296875" style="6" customWidth="1"/>
    <col min="2" max="2" width="9.1796875" style="6" customWidth="1"/>
    <col min="3" max="3" width="22.36328125" style="6" customWidth="1"/>
    <col min="4" max="4" width="18" style="6" customWidth="1"/>
    <col min="5" max="5" width="17.54296875" style="6" bestFit="1" customWidth="1"/>
    <col min="6" max="6" width="9.1796875" style="6" customWidth="1"/>
    <col min="7" max="7" width="11.81640625" style="6" customWidth="1"/>
    <col min="8" max="8" width="26.1796875" style="6" bestFit="1" customWidth="1"/>
    <col min="9" max="9" width="30.1796875" style="6" customWidth="1"/>
    <col min="10" max="10" width="16.54296875" style="6" customWidth="1"/>
    <col min="11" max="11" width="24.1796875" style="6" customWidth="1"/>
    <col min="12" max="12" width="12" style="6" bestFit="1" customWidth="1"/>
    <col min="13" max="13" width="13.26953125" style="6" customWidth="1"/>
    <col min="14" max="28" width="9.1796875" style="6" customWidth="1"/>
    <col min="29" max="29" width="9.1796875" style="6" hidden="1" customWidth="1"/>
    <col min="30" max="30" width="9.1796875" style="7" hidden="1" customWidth="1"/>
    <col min="31" max="16384" width="9.1796875" style="6" hidden="1"/>
  </cols>
  <sheetData>
    <row r="1" spans="1:30" ht="60.75" customHeight="1" x14ac:dyDescent="0.2"/>
    <row r="2" spans="1:30" x14ac:dyDescent="0.2"/>
    <row r="3" spans="1:30" ht="22" customHeight="1" x14ac:dyDescent="0.2">
      <c r="A3" s="34" t="s">
        <v>2695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30" x14ac:dyDescent="0.2"/>
    <row r="5" spans="1:30" x14ac:dyDescent="0.2">
      <c r="C5" s="8" t="s">
        <v>22</v>
      </c>
      <c r="E5" s="65" t="s">
        <v>2711</v>
      </c>
      <c r="F5" s="65"/>
      <c r="G5" s="65"/>
      <c r="H5" s="65"/>
      <c r="I5" s="9" t="s">
        <v>2551</v>
      </c>
      <c r="J5" s="10" t="s">
        <v>2531</v>
      </c>
      <c r="K5" s="9" t="s">
        <v>2552</v>
      </c>
      <c r="L5" s="11">
        <f>+IFERROR(VLOOKUP(J5,CoAteco[],5,FALSE),"Inserire Ateco!")</f>
        <v>0.67</v>
      </c>
    </row>
    <row r="6" spans="1:30" x14ac:dyDescent="0.2">
      <c r="I6" s="12" t="str">
        <f>+IF(J5="","",VLOOKUP(J5,CoAteco[],2,0))</f>
        <v>Attività di sgombero di cantine, solai e garage</v>
      </c>
      <c r="J6" s="12"/>
      <c r="K6" s="12"/>
      <c r="AC6" s="6" t="s">
        <v>2582</v>
      </c>
      <c r="AD6" s="7" t="str">
        <f>+IF($B$13*$B$15,"X","")</f>
        <v>X</v>
      </c>
    </row>
    <row r="7" spans="1:30" x14ac:dyDescent="0.2"/>
    <row r="8" spans="1:30" x14ac:dyDescent="0.2">
      <c r="C8" s="8" t="s">
        <v>23</v>
      </c>
      <c r="E8" s="13">
        <v>2</v>
      </c>
      <c r="F8" s="60" t="b">
        <v>1</v>
      </c>
      <c r="G8" s="6" t="s">
        <v>2556</v>
      </c>
      <c r="I8" s="14" t="s">
        <v>2691</v>
      </c>
      <c r="J8" s="15">
        <v>8</v>
      </c>
      <c r="K8" s="14" t="s">
        <v>2553</v>
      </c>
      <c r="L8" s="16">
        <f>+IF(J8&lt;6,0.15,IF(AND(J8&gt;=6,J8&lt;8),0.12,IF(AND(J8&gt;=8,J8&lt;=10),0.1,0)))</f>
        <v>0.1</v>
      </c>
      <c r="AC8" s="6" t="s">
        <v>2583</v>
      </c>
      <c r="AD8" s="7" t="str">
        <f>+IF($B$19*$B$22*$B$25,"X","")</f>
        <v>X</v>
      </c>
    </row>
    <row r="9" spans="1:30" ht="18" customHeight="1" x14ac:dyDescent="0.2">
      <c r="C9" s="8"/>
      <c r="E9" s="13">
        <v>1</v>
      </c>
      <c r="I9" s="14"/>
      <c r="K9" s="14" t="s">
        <v>2581</v>
      </c>
      <c r="L9" s="16">
        <f>+IF($J$8=10,0.1,IF(AND($J$8&gt;=9,$J$8&lt;10),0.15,IF(AND($J$8&gt;=8,$J$8&lt;9),0.25,"Nessun limite massimo")))</f>
        <v>0.25</v>
      </c>
    </row>
    <row r="10" spans="1:30" ht="6.75" customHeight="1" x14ac:dyDescent="0.2">
      <c r="C10" s="8"/>
      <c r="E10" s="13"/>
      <c r="I10" s="14"/>
      <c r="K10" s="14"/>
      <c r="L10" s="16"/>
    </row>
    <row r="11" spans="1:30" ht="22" customHeight="1" x14ac:dyDescent="0.2">
      <c r="A11" s="34" t="s">
        <v>2707</v>
      </c>
      <c r="B11" s="35"/>
      <c r="C11" s="36"/>
      <c r="D11" s="35"/>
      <c r="E11" s="37"/>
      <c r="F11" s="35"/>
      <c r="G11" s="35"/>
      <c r="H11" s="35"/>
      <c r="I11" s="38"/>
      <c r="J11" s="35"/>
      <c r="K11" s="38"/>
      <c r="L11" s="47"/>
    </row>
    <row r="12" spans="1:30" ht="8.15" customHeight="1" x14ac:dyDescent="0.2">
      <c r="A12" s="40"/>
      <c r="C12" s="8"/>
      <c r="E12" s="13"/>
      <c r="I12" s="14"/>
      <c r="K12" s="14"/>
      <c r="L12" s="48"/>
    </row>
    <row r="13" spans="1:30" x14ac:dyDescent="0.2">
      <c r="B13" s="60" t="b">
        <v>1</v>
      </c>
      <c r="C13" s="67" t="s">
        <v>2584</v>
      </c>
      <c r="D13" s="66"/>
      <c r="E13" s="66"/>
      <c r="F13" s="66"/>
      <c r="G13" s="66"/>
      <c r="H13" s="66"/>
      <c r="I13" s="66"/>
      <c r="J13" s="19" t="str">
        <f>+IF(B13,"","Occorre dichiarare la presenza dei requisiti!")</f>
        <v/>
      </c>
      <c r="K13" s="14"/>
      <c r="L13" s="16"/>
    </row>
    <row r="14" spans="1:30" x14ac:dyDescent="0.2">
      <c r="C14" s="66"/>
      <c r="D14" s="66"/>
      <c r="E14" s="66"/>
      <c r="F14" s="66"/>
      <c r="G14" s="66"/>
      <c r="H14" s="66"/>
      <c r="I14" s="66"/>
      <c r="K14" s="14"/>
      <c r="L14" s="16"/>
    </row>
    <row r="15" spans="1:30" x14ac:dyDescent="0.2">
      <c r="B15" s="60" t="b">
        <v>1</v>
      </c>
      <c r="C15" s="66" t="s">
        <v>2692</v>
      </c>
      <c r="D15" s="66"/>
      <c r="E15" s="66"/>
      <c r="F15" s="66"/>
      <c r="G15" s="66"/>
      <c r="H15" s="66"/>
      <c r="I15" s="66"/>
      <c r="J15" s="19" t="str">
        <f>+IF(B15,"","Occorre dichiarare la presenza dei requisiti!")</f>
        <v/>
      </c>
    </row>
    <row r="16" spans="1:30" x14ac:dyDescent="0.2">
      <c r="C16" s="66"/>
      <c r="D16" s="66"/>
      <c r="E16" s="66"/>
      <c r="F16" s="66"/>
      <c r="G16" s="66"/>
      <c r="H16" s="66"/>
      <c r="I16" s="66"/>
    </row>
    <row r="17" spans="1:12" ht="11.25" customHeight="1" x14ac:dyDescent="0.2">
      <c r="B17" s="18"/>
      <c r="C17" s="18"/>
      <c r="D17" s="18"/>
      <c r="E17" s="18"/>
      <c r="F17" s="18"/>
      <c r="G17" s="18"/>
      <c r="H17" s="18"/>
      <c r="I17" s="18"/>
    </row>
    <row r="18" spans="1:12" ht="11.25" hidden="1" customHeight="1" x14ac:dyDescent="0.2">
      <c r="B18" s="17" t="b">
        <v>0</v>
      </c>
      <c r="C18" s="8" t="s">
        <v>2554</v>
      </c>
    </row>
    <row r="19" spans="1:12" x14ac:dyDescent="0.2">
      <c r="B19" s="60" t="b">
        <v>1</v>
      </c>
      <c r="C19" s="8" t="s">
        <v>20</v>
      </c>
    </row>
    <row r="20" spans="1:12" ht="15" customHeight="1" x14ac:dyDescent="0.2">
      <c r="C20" s="66" t="s">
        <v>19</v>
      </c>
      <c r="D20" s="66"/>
      <c r="E20" s="66"/>
      <c r="F20" s="66"/>
      <c r="G20" s="66"/>
      <c r="H20" s="66"/>
      <c r="I20" s="66"/>
      <c r="J20" s="19" t="str">
        <f>+IF(B19,"","Occorre dichiarare la presenza dei requisiti!")</f>
        <v/>
      </c>
    </row>
    <row r="21" spans="1:12" ht="15" customHeight="1" x14ac:dyDescent="0.2">
      <c r="C21" s="18"/>
      <c r="D21" s="18"/>
      <c r="E21" s="18"/>
      <c r="F21" s="18"/>
      <c r="G21" s="18"/>
      <c r="H21" s="18"/>
      <c r="I21" s="18"/>
      <c r="J21" s="19"/>
    </row>
    <row r="22" spans="1:12" ht="10.25" customHeight="1" x14ac:dyDescent="0.2">
      <c r="B22" s="60" t="b">
        <v>1</v>
      </c>
      <c r="C22" s="66" t="s">
        <v>2693</v>
      </c>
      <c r="D22" s="66"/>
      <c r="E22" s="66"/>
      <c r="F22" s="66"/>
      <c r="G22" s="66"/>
      <c r="H22" s="66"/>
      <c r="I22" s="66"/>
    </row>
    <row r="23" spans="1:12" ht="32.25" customHeight="1" x14ac:dyDescent="0.2">
      <c r="C23" s="66"/>
      <c r="D23" s="66"/>
      <c r="E23" s="66"/>
      <c r="F23" s="66"/>
      <c r="G23" s="66"/>
      <c r="H23" s="66"/>
      <c r="I23" s="66"/>
      <c r="J23" s="19" t="str">
        <f>+IF(B22,"","Occorre dichiarare la presenza dei requisiti!")</f>
        <v/>
      </c>
    </row>
    <row r="24" spans="1:12" hidden="1" x14ac:dyDescent="0.2">
      <c r="C24" s="20"/>
      <c r="D24" s="20"/>
      <c r="E24" s="20"/>
      <c r="F24" s="20"/>
      <c r="G24" s="20"/>
      <c r="H24" s="20"/>
      <c r="I24" s="20"/>
    </row>
    <row r="25" spans="1:12" x14ac:dyDescent="0.2">
      <c r="B25" s="60" t="b">
        <v>1</v>
      </c>
      <c r="C25" s="64" t="s">
        <v>21</v>
      </c>
      <c r="D25" s="64"/>
      <c r="E25" s="21"/>
      <c r="F25" s="21"/>
      <c r="G25" s="21"/>
      <c r="H25" s="21"/>
    </row>
    <row r="26" spans="1:12" ht="15" customHeight="1" x14ac:dyDescent="0.2">
      <c r="C26" s="66" t="s">
        <v>2555</v>
      </c>
      <c r="D26" s="66"/>
      <c r="E26" s="66"/>
      <c r="F26" s="66"/>
      <c r="G26" s="66"/>
      <c r="H26" s="66"/>
      <c r="I26" s="66"/>
      <c r="J26" s="19" t="str">
        <f>+IF(B25,"","Occorre dichiarare la presenza dei requisiti!")</f>
        <v/>
      </c>
    </row>
    <row r="27" spans="1:12" ht="43.5" customHeight="1" x14ac:dyDescent="0.2">
      <c r="C27" s="66"/>
      <c r="D27" s="66"/>
      <c r="E27" s="66"/>
      <c r="F27" s="66"/>
      <c r="G27" s="66"/>
      <c r="H27" s="66"/>
      <c r="I27" s="66"/>
      <c r="J27" s="22"/>
    </row>
    <row r="28" spans="1:12" ht="12.75" customHeight="1" x14ac:dyDescent="0.2">
      <c r="C28" s="18"/>
      <c r="D28" s="18"/>
      <c r="E28" s="18"/>
      <c r="F28" s="18"/>
      <c r="G28" s="18"/>
      <c r="H28" s="18"/>
      <c r="I28" s="18"/>
      <c r="J28" s="22"/>
    </row>
    <row r="29" spans="1:12" ht="22" customHeight="1" x14ac:dyDescent="0.2">
      <c r="A29" s="34" t="s">
        <v>2708</v>
      </c>
      <c r="B29" s="35"/>
      <c r="C29" s="39"/>
      <c r="D29" s="39"/>
      <c r="E29" s="39"/>
      <c r="F29" s="39"/>
      <c r="G29" s="39"/>
      <c r="H29" s="39"/>
      <c r="I29" s="35"/>
      <c r="J29" s="35"/>
      <c r="K29" s="35"/>
      <c r="L29" s="35"/>
    </row>
    <row r="30" spans="1:12" ht="8.15" customHeight="1" x14ac:dyDescent="0.2">
      <c r="A30" s="40"/>
      <c r="C30" s="21"/>
      <c r="D30" s="21"/>
      <c r="E30" s="21"/>
      <c r="F30" s="21"/>
      <c r="G30" s="21"/>
      <c r="H30" s="21"/>
    </row>
    <row r="31" spans="1:12" ht="11.25" customHeight="1" x14ac:dyDescent="0.2">
      <c r="C31" s="6" t="s">
        <v>2694</v>
      </c>
      <c r="D31" s="21"/>
      <c r="E31" s="21"/>
      <c r="F31" s="21"/>
      <c r="G31" s="21"/>
      <c r="H31" s="21"/>
      <c r="I31" s="68">
        <v>1000000</v>
      </c>
    </row>
    <row r="32" spans="1:12" x14ac:dyDescent="0.2">
      <c r="C32" s="21"/>
      <c r="D32" s="21"/>
      <c r="E32" s="21"/>
      <c r="F32" s="21"/>
      <c r="G32" s="21"/>
      <c r="H32" s="21"/>
      <c r="K32" s="24"/>
    </row>
    <row r="33" spans="1:30" x14ac:dyDescent="0.2">
      <c r="C33" s="23" t="s">
        <v>2688</v>
      </c>
      <c r="I33" s="68">
        <v>1800000</v>
      </c>
    </row>
    <row r="34" spans="1:30" x14ac:dyDescent="0.2">
      <c r="K34" s="24"/>
      <c r="AD34" s="7" t="str">
        <f>+IF(B71=TRUE,"X","")</f>
        <v/>
      </c>
    </row>
    <row r="35" spans="1:30" x14ac:dyDescent="0.2">
      <c r="H35" s="25">
        <v>2025</v>
      </c>
      <c r="I35" s="25">
        <v>2026</v>
      </c>
      <c r="J35" s="26" t="s">
        <v>2689</v>
      </c>
      <c r="K35" s="26" t="s">
        <v>2690</v>
      </c>
      <c r="O35" s="27"/>
    </row>
    <row r="36" spans="1:30" x14ac:dyDescent="0.2">
      <c r="C36" s="6" t="s">
        <v>24</v>
      </c>
      <c r="H36" s="69">
        <v>1200000</v>
      </c>
      <c r="I36" s="70">
        <v>1250000</v>
      </c>
      <c r="J36" s="30">
        <f>+H36-$I$31</f>
        <v>200000</v>
      </c>
      <c r="K36" s="30">
        <f>+I36-$I$31</f>
        <v>250000</v>
      </c>
    </row>
    <row r="37" spans="1:30" x14ac:dyDescent="0.2">
      <c r="C37" s="6" t="s">
        <v>25</v>
      </c>
      <c r="H37" s="71">
        <v>2000000</v>
      </c>
      <c r="I37" s="72">
        <v>2300000</v>
      </c>
      <c r="J37" s="30">
        <f>+H37-$I$33</f>
        <v>200000</v>
      </c>
      <c r="K37" s="30">
        <f>+I37-$I$33</f>
        <v>500000</v>
      </c>
    </row>
    <row r="38" spans="1:30" x14ac:dyDescent="0.2">
      <c r="H38" s="42"/>
      <c r="I38" s="43"/>
      <c r="J38" s="41"/>
      <c r="K38" s="41"/>
    </row>
    <row r="39" spans="1:30" ht="22" customHeight="1" x14ac:dyDescent="0.2">
      <c r="A39" s="34" t="s">
        <v>2709</v>
      </c>
      <c r="B39" s="35"/>
      <c r="C39" s="35"/>
      <c r="D39" s="35"/>
      <c r="E39" s="35"/>
      <c r="F39" s="35"/>
      <c r="G39" s="35"/>
      <c r="H39" s="44"/>
      <c r="I39" s="45"/>
      <c r="J39" s="46"/>
      <c r="K39" s="46"/>
      <c r="L39" s="46"/>
    </row>
    <row r="40" spans="1:30" ht="8.15" customHeight="1" x14ac:dyDescent="0.2">
      <c r="H40" s="42"/>
      <c r="I40" s="43"/>
      <c r="J40" s="41"/>
      <c r="K40" s="41"/>
    </row>
    <row r="41" spans="1:30" x14ac:dyDescent="0.2">
      <c r="H41" s="25">
        <v>2025</v>
      </c>
      <c r="I41" s="25">
        <v>2026</v>
      </c>
      <c r="J41" s="41"/>
      <c r="K41" s="41"/>
    </row>
    <row r="42" spans="1:30" x14ac:dyDescent="0.2">
      <c r="C42" s="6" t="s">
        <v>2696</v>
      </c>
      <c r="G42" s="33">
        <f>+L8</f>
        <v>0.1</v>
      </c>
      <c r="H42" s="56">
        <f>+MIN(H36-ReddNorm,85000)</f>
        <v>85000</v>
      </c>
      <c r="I42" s="56">
        <f>+MIN(I36-ReddNorm,85000)</f>
        <v>85000</v>
      </c>
      <c r="J42" s="41"/>
      <c r="K42" s="41"/>
    </row>
    <row r="43" spans="1:30" x14ac:dyDescent="0.2">
      <c r="C43" s="6" t="s">
        <v>2697</v>
      </c>
      <c r="G43" s="32">
        <f>+IF(SoggIRES,0.24,0.43)</f>
        <v>0.24</v>
      </c>
      <c r="H43" s="56">
        <f>+MAX(H36-ReddNorm-H42,0)</f>
        <v>115000</v>
      </c>
      <c r="I43" s="56">
        <f>+MAX(I36-ReddNorm-I42,0)</f>
        <v>165000</v>
      </c>
      <c r="J43" s="41"/>
      <c r="K43" s="41"/>
    </row>
    <row r="44" spans="1:30" ht="3" customHeight="1" x14ac:dyDescent="0.2">
      <c r="G44" s="32"/>
      <c r="H44" s="56"/>
      <c r="I44" s="56"/>
      <c r="J44" s="41"/>
      <c r="K44" s="41"/>
    </row>
    <row r="45" spans="1:30" x14ac:dyDescent="0.2">
      <c r="C45" s="6" t="s">
        <v>2698</v>
      </c>
      <c r="H45" s="56">
        <f>+H42*$G42</f>
        <v>8500</v>
      </c>
      <c r="I45" s="56">
        <f>+I42*$G$42</f>
        <v>8500</v>
      </c>
      <c r="J45" s="41"/>
      <c r="K45" s="41"/>
    </row>
    <row r="46" spans="1:30" x14ac:dyDescent="0.2">
      <c r="C46" s="6" t="s">
        <v>2699</v>
      </c>
      <c r="H46" s="56">
        <f>+H43*$G43</f>
        <v>27600</v>
      </c>
      <c r="I46" s="56">
        <f>+I43*$G$42</f>
        <v>16500</v>
      </c>
      <c r="J46" s="41"/>
      <c r="K46" s="41"/>
    </row>
    <row r="47" spans="1:30" x14ac:dyDescent="0.2">
      <c r="C47" s="6" t="s">
        <v>2700</v>
      </c>
      <c r="H47" s="56">
        <f>+(H37-$I$33)*0.039</f>
        <v>7800</v>
      </c>
      <c r="I47" s="56">
        <f>+(I37-$I$33)*0.039</f>
        <v>19500</v>
      </c>
      <c r="J47" s="41"/>
      <c r="K47" s="41"/>
    </row>
    <row r="48" spans="1:30" x14ac:dyDescent="0.2">
      <c r="C48" s="49" t="s">
        <v>2701</v>
      </c>
      <c r="D48" s="50"/>
      <c r="E48" s="50"/>
      <c r="F48" s="50"/>
      <c r="G48" s="50"/>
      <c r="H48" s="59">
        <f>+H45+H46+H47</f>
        <v>43900</v>
      </c>
      <c r="I48" s="59">
        <f>+I45+I46+I47</f>
        <v>44500</v>
      </c>
      <c r="J48" s="41"/>
      <c r="K48" s="41"/>
    </row>
    <row r="49" spans="1:30" x14ac:dyDescent="0.2">
      <c r="H49" s="42"/>
      <c r="I49" s="43"/>
      <c r="J49" s="41"/>
      <c r="K49" s="41"/>
    </row>
    <row r="50" spans="1:30" ht="22" customHeight="1" x14ac:dyDescent="0.2">
      <c r="A50" s="34" t="s">
        <v>2710</v>
      </c>
      <c r="B50" s="35"/>
      <c r="C50" s="35"/>
      <c r="D50" s="35"/>
      <c r="E50" s="35"/>
      <c r="F50" s="35"/>
      <c r="G50" s="35"/>
      <c r="H50" s="44"/>
      <c r="I50" s="45"/>
      <c r="J50" s="46"/>
      <c r="K50" s="46"/>
      <c r="L50" s="46"/>
    </row>
    <row r="51" spans="1:30" ht="8.15" customHeight="1" x14ac:dyDescent="0.2">
      <c r="H51" s="42"/>
      <c r="I51" s="43"/>
      <c r="J51" s="41"/>
      <c r="K51" s="41"/>
    </row>
    <row r="52" spans="1:30" x14ac:dyDescent="0.2">
      <c r="H52" s="25">
        <v>2025</v>
      </c>
      <c r="I52" s="25">
        <v>2026</v>
      </c>
      <c r="J52" s="41"/>
      <c r="K52" s="41"/>
    </row>
    <row r="53" spans="1:30" x14ac:dyDescent="0.2">
      <c r="C53" s="6" t="s">
        <v>2702</v>
      </c>
      <c r="H53" s="28">
        <v>1150000</v>
      </c>
      <c r="I53" s="29">
        <v>1200000</v>
      </c>
      <c r="J53" s="41"/>
      <c r="K53" s="41"/>
    </row>
    <row r="54" spans="1:30" x14ac:dyDescent="0.2">
      <c r="C54" s="6" t="s">
        <v>2703</v>
      </c>
      <c r="H54" s="56">
        <f>+H53-ReddNorm</f>
        <v>150000</v>
      </c>
      <c r="I54" s="56">
        <f>+I53-ReddNorm</f>
        <v>200000</v>
      </c>
      <c r="J54" s="41"/>
      <c r="K54" s="41"/>
    </row>
    <row r="55" spans="1:30" x14ac:dyDescent="0.2">
      <c r="C55" s="6" t="s">
        <v>2705</v>
      </c>
      <c r="H55" s="56" cm="1">
        <f t="array" ref="H55">+IF(SoggIRES,0.24*H54,Irpef(H54))</f>
        <v>36000</v>
      </c>
      <c r="I55" s="56" cm="1">
        <f t="array" ref="I55">+IF(SoggIRES,0.24*I54,Irpef(I54))</f>
        <v>48000</v>
      </c>
      <c r="J55" s="41"/>
      <c r="K55" s="41"/>
    </row>
    <row r="56" spans="1:30" x14ac:dyDescent="0.2">
      <c r="C56" s="6" t="s">
        <v>26</v>
      </c>
      <c r="H56" s="56">
        <f>+(H53-ReddNorm)*0.039</f>
        <v>5850</v>
      </c>
      <c r="I56" s="56">
        <f>+(I53-ReddNorm)*0.039</f>
        <v>7800</v>
      </c>
      <c r="J56" s="41"/>
      <c r="K56" s="41"/>
    </row>
    <row r="57" spans="1:30" x14ac:dyDescent="0.2">
      <c r="C57" s="6" t="s">
        <v>2712</v>
      </c>
      <c r="H57" s="61"/>
      <c r="I57" s="57"/>
      <c r="J57" s="41"/>
      <c r="K57" s="41"/>
    </row>
    <row r="58" spans="1:30" x14ac:dyDescent="0.2">
      <c r="C58" s="6" t="s">
        <v>2704</v>
      </c>
      <c r="H58" s="56">
        <f>-H48+H57</f>
        <v>-43900</v>
      </c>
      <c r="I58" s="57">
        <f>-I48</f>
        <v>-44500</v>
      </c>
      <c r="J58" s="41"/>
      <c r="K58" s="41"/>
    </row>
    <row r="59" spans="1:30" x14ac:dyDescent="0.2">
      <c r="C59" s="6" t="s">
        <v>2706</v>
      </c>
      <c r="H59" s="58">
        <f>+H55+H58+H56</f>
        <v>-2050</v>
      </c>
      <c r="I59" s="58">
        <f>+I55+I58+I56</f>
        <v>11300</v>
      </c>
    </row>
    <row r="60" spans="1:30" x14ac:dyDescent="0.2">
      <c r="H60" s="62">
        <f>+H59+I59</f>
        <v>9250</v>
      </c>
      <c r="I60" s="62"/>
      <c r="J60" s="41"/>
      <c r="K60" s="41"/>
    </row>
    <row r="61" spans="1:30" x14ac:dyDescent="0.2">
      <c r="H61" s="42"/>
      <c r="I61" s="43"/>
      <c r="J61" s="41"/>
      <c r="K61" s="41"/>
      <c r="AD61" s="6"/>
    </row>
    <row r="62" spans="1:30" x14ac:dyDescent="0.2">
      <c r="H62" s="42"/>
      <c r="I62" s="43"/>
      <c r="J62" s="41"/>
      <c r="K62" s="41"/>
      <c r="AD62" s="6" t="str">
        <f>+IF($E$8=1,IF($B$19=TRUE,"X",""),"")</f>
        <v/>
      </c>
    </row>
    <row r="63" spans="1:30" x14ac:dyDescent="0.2">
      <c r="C63" s="51" t="str">
        <f>+IF(F8,"Incremento di reddito e VDP oltre il quale conviene il CPB","")</f>
        <v>Incremento di reddito e VDP oltre il quale conviene il CPB</v>
      </c>
      <c r="D63" s="52"/>
      <c r="E63" s="52"/>
      <c r="F63" s="52"/>
      <c r="G63" s="52"/>
      <c r="H63" s="53">
        <f>+H48/0.279*SoggIRES</f>
        <v>157347.67025089604</v>
      </c>
      <c r="I63" s="53">
        <f>+I48/0.279*SoggIRES</f>
        <v>159498.20788530464</v>
      </c>
      <c r="J63" s="31"/>
      <c r="K63" s="24"/>
      <c r="L63" s="24"/>
    </row>
    <row r="64" spans="1:30" x14ac:dyDescent="0.2">
      <c r="C64" s="52"/>
      <c r="D64" s="52"/>
      <c r="E64" s="52"/>
      <c r="F64" s="52"/>
      <c r="G64" s="54" t="str">
        <f>+IF(F8,"∆%","")</f>
        <v>∆%</v>
      </c>
      <c r="H64" s="55">
        <f>+SoggIRES*H63/I31</f>
        <v>0.15734767025089605</v>
      </c>
      <c r="I64" s="55">
        <f>+SoggIRES*I63/I31</f>
        <v>0.15949820788530464</v>
      </c>
    </row>
    <row r="65" spans="2:11" ht="15" customHeight="1" x14ac:dyDescent="0.2">
      <c r="G65" s="14"/>
      <c r="H65" s="32"/>
      <c r="I65" s="32"/>
    </row>
    <row r="66" spans="2:11" x14ac:dyDescent="0.2"/>
    <row r="67" spans="2:11" x14ac:dyDescent="0.2">
      <c r="C67" s="63" t="str">
        <f>IFERROR("L'adesione al concordato preventivo biennale comporta un "
&amp;"maggior "
&amp;" costo di "
&amp;TEXT(SUM(H48:I48),"#.##0,00;#.##0,00")
&amp;" rispetto a quanto dichiarato nel primo periodo di imposta antecedente."&amp;CHAR(10)&amp;" In base alle previsioni inserite, il concordato comporterebbe "
&amp;IF(H60&gt;0,"un risparmio di ","una maggior ")
&amp;"imposta rispetto alla MANCATA ADESIONE di "&amp;TEXT(H60,"#.###,00;#.###,00;0"),"")</f>
        <v>L'adesione al concordato preventivo biennale comporta un maggior  costo di 88.400,00 rispetto a quanto dichiarato nel primo periodo di imposta antecedente.
 In base alle previsioni inserite, il concordato comporterebbe un risparmio di imposta rispetto alla MANCATA ADESIONE di 9.250,00</v>
      </c>
      <c r="D67" s="63"/>
      <c r="E67" s="63"/>
      <c r="F67" s="63"/>
      <c r="G67" s="63"/>
      <c r="H67" s="63"/>
      <c r="I67" s="63"/>
      <c r="J67" s="63"/>
      <c r="K67" s="63"/>
    </row>
    <row r="68" spans="2:11" x14ac:dyDescent="0.2">
      <c r="C68" s="63"/>
      <c r="D68" s="63"/>
      <c r="E68" s="63"/>
      <c r="F68" s="63"/>
      <c r="G68" s="63"/>
      <c r="H68" s="63"/>
      <c r="I68" s="63"/>
      <c r="J68" s="63"/>
      <c r="K68" s="63"/>
    </row>
    <row r="69" spans="2:11" x14ac:dyDescent="0.2">
      <c r="C69" s="63"/>
      <c r="D69" s="63"/>
      <c r="E69" s="63"/>
      <c r="F69" s="63"/>
      <c r="G69" s="63"/>
      <c r="H69" s="63"/>
      <c r="I69" s="63"/>
      <c r="J69" s="63"/>
      <c r="K69" s="63"/>
    </row>
    <row r="70" spans="2:11" x14ac:dyDescent="0.2">
      <c r="C70" s="63"/>
      <c r="D70" s="63"/>
      <c r="E70" s="63"/>
      <c r="F70" s="63"/>
      <c r="G70" s="63"/>
      <c r="H70" s="63"/>
      <c r="I70" s="63"/>
      <c r="J70" s="63"/>
      <c r="K70" s="63"/>
    </row>
    <row r="71" spans="2:11" x14ac:dyDescent="0.2"/>
    <row r="72" spans="2:11" x14ac:dyDescent="0.2">
      <c r="C72" s="8"/>
    </row>
    <row r="73" spans="2:11" x14ac:dyDescent="0.2"/>
    <row r="75" spans="2:11" hidden="1" x14ac:dyDescent="0.2">
      <c r="B75" s="6" t="s">
        <v>27</v>
      </c>
    </row>
    <row r="76" spans="2:11" hidden="1" x14ac:dyDescent="0.2">
      <c r="B76" s="6" t="s">
        <v>28</v>
      </c>
      <c r="D76" s="6" t="s">
        <v>37</v>
      </c>
    </row>
    <row r="77" spans="2:11" hidden="1" x14ac:dyDescent="0.2">
      <c r="B77" s="6" t="s">
        <v>29</v>
      </c>
      <c r="D77" s="6" t="s">
        <v>38</v>
      </c>
    </row>
    <row r="78" spans="2:11" hidden="1" x14ac:dyDescent="0.2">
      <c r="B78" s="6" t="s">
        <v>30</v>
      </c>
      <c r="D78" s="6" t="s">
        <v>39</v>
      </c>
    </row>
    <row r="79" spans="2:11" hidden="1" x14ac:dyDescent="0.2">
      <c r="B79" s="6" t="s">
        <v>31</v>
      </c>
      <c r="D79" s="6" t="s">
        <v>40</v>
      </c>
    </row>
    <row r="80" spans="2:11" hidden="1" x14ac:dyDescent="0.2">
      <c r="B80" s="6" t="s">
        <v>32</v>
      </c>
      <c r="D80" s="6" t="s">
        <v>41</v>
      </c>
    </row>
    <row r="81" spans="2:2" hidden="1" x14ac:dyDescent="0.2">
      <c r="B81" s="6" t="s">
        <v>33</v>
      </c>
    </row>
    <row r="82" spans="2:2" hidden="1" x14ac:dyDescent="0.2">
      <c r="B82" s="6" t="s">
        <v>34</v>
      </c>
    </row>
    <row r="83" spans="2:2" hidden="1" x14ac:dyDescent="0.2">
      <c r="B83" s="6" t="s">
        <v>35</v>
      </c>
    </row>
    <row r="84" spans="2:2" x14ac:dyDescent="0.2">
      <c r="B84" s="6" t="s">
        <v>36</v>
      </c>
    </row>
    <row r="85" spans="2:2" x14ac:dyDescent="0.2"/>
    <row r="86" spans="2:2" x14ac:dyDescent="0.2"/>
    <row r="87" spans="2:2" x14ac:dyDescent="0.2"/>
    <row r="88" spans="2:2" x14ac:dyDescent="0.2"/>
    <row r="89" spans="2:2" x14ac:dyDescent="0.2"/>
    <row r="90" spans="2:2" x14ac:dyDescent="0.2"/>
    <row r="91" spans="2:2" x14ac:dyDescent="0.2"/>
    <row r="92" spans="2:2" x14ac:dyDescent="0.2"/>
    <row r="93" spans="2:2" x14ac:dyDescent="0.2"/>
    <row r="94" spans="2:2" x14ac:dyDescent="0.2"/>
    <row r="95" spans="2:2" x14ac:dyDescent="0.2"/>
    <row r="96" spans="2:2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</sheetData>
  <sheetProtection algorithmName="SHA-512" hashValue="Y3b6KB26IP5lhZucaUFB+MeA+VwIb06HXCQ6i1rfTX7sSgFwo3ZmBCmWGGWBWHBsJnzFzfLsdRaBOqCQQIyACg==" saltValue="E8D6/LwuEm2BgHgOGOmCYQ==" spinCount="100000" sheet="1" formatCells="0" formatColumns="0" formatRows="0" selectLockedCells="1"/>
  <mergeCells count="9">
    <mergeCell ref="H60:I60"/>
    <mergeCell ref="C67:K70"/>
    <mergeCell ref="C25:D25"/>
    <mergeCell ref="E5:H5"/>
    <mergeCell ref="C26:I27"/>
    <mergeCell ref="C20:I20"/>
    <mergeCell ref="C15:I16"/>
    <mergeCell ref="C13:I14"/>
    <mergeCell ref="C22:I23"/>
  </mergeCells>
  <phoneticPr fontId="3" type="noConversion"/>
  <conditionalFormatting sqref="C67">
    <cfRule type="expression" dxfId="7" priority="20">
      <formula>IF($H$60&gt;0,TRUE,FALSE)</formula>
    </cfRule>
  </conditionalFormatting>
  <conditionalFormatting sqref="B13">
    <cfRule type="cellIs" dxfId="6" priority="7" operator="equal">
      <formula>TRUE</formula>
    </cfRule>
  </conditionalFormatting>
  <conditionalFormatting sqref="B15">
    <cfRule type="cellIs" dxfId="5" priority="6" operator="equal">
      <formula>TRUE</formula>
    </cfRule>
  </conditionalFormatting>
  <conditionalFormatting sqref="B19">
    <cfRule type="cellIs" dxfId="4" priority="5" operator="equal">
      <formula>TRUE</formula>
    </cfRule>
  </conditionalFormatting>
  <conditionalFormatting sqref="B22">
    <cfRule type="cellIs" dxfId="3" priority="4" operator="equal">
      <formula>TRUE</formula>
    </cfRule>
  </conditionalFormatting>
  <conditionalFormatting sqref="B25">
    <cfRule type="cellIs" dxfId="2" priority="3" operator="equal">
      <formula>TRUE</formula>
    </cfRule>
  </conditionalFormatting>
  <conditionalFormatting sqref="F8">
    <cfRule type="cellIs" dxfId="1" priority="2" operator="equal">
      <formula>TRUE</formula>
    </cfRule>
  </conditionalFormatting>
  <conditionalFormatting sqref="H60:I60">
    <cfRule type="expression" dxfId="0" priority="1">
      <formula>IF($H$60&gt;0,TRUE,FALSE)</formula>
    </cfRule>
  </conditionalFormatting>
  <dataValidations count="1">
    <dataValidation type="list" allowBlank="1" showInputMessage="1" showErrorMessage="1" sqref="B18:B19 B25 B13 B15 B22 F8" xr:uid="{AAB3D1C4-7189-4E4B-9548-AAD3D9DDFE3C}">
      <formula1>"VERO,FALSO"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7</xdr:row>
                    <xdr:rowOff>0</xdr:rowOff>
                  </from>
                  <to>
                    <xdr:col>5</xdr:col>
                    <xdr:colOff>12700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AB4787-40D6-49FB-B039-BF75FE446F38}">
          <x14:formula1>
            <xm:f>Ateco!$A$2:$A$10000</xm:f>
          </x14:formula1>
          <xm:sqref>J5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4.5" x14ac:dyDescent="0.35"/>
  <cols>
    <col min="1" max="1" width="8.36328125" bestFit="1" customWidth="1"/>
    <col min="2" max="2" width="60.26953125" customWidth="1"/>
    <col min="3" max="3" width="10.54296875" bestFit="1" customWidth="1"/>
    <col min="4" max="4" width="11.54296875" bestFit="1" customWidth="1"/>
    <col min="5" max="5" width="14.7265625" bestFit="1" customWidth="1"/>
  </cols>
  <sheetData>
    <row r="1" spans="1:5" x14ac:dyDescent="0.35">
      <c r="A1" t="s">
        <v>122</v>
      </c>
      <c r="B1" t="s">
        <v>123</v>
      </c>
      <c r="C1" s="4" t="s">
        <v>124</v>
      </c>
      <c r="D1" s="4" t="s">
        <v>125</v>
      </c>
      <c r="E1" t="s">
        <v>126</v>
      </c>
    </row>
    <row r="2" spans="1:5" x14ac:dyDescent="0.35">
      <c r="A2" t="s">
        <v>127</v>
      </c>
      <c r="B2" t="s">
        <v>128</v>
      </c>
      <c r="C2" s="1">
        <v>85000</v>
      </c>
      <c r="D2" s="1">
        <v>100000</v>
      </c>
      <c r="E2" s="2">
        <v>0.67</v>
      </c>
    </row>
    <row r="3" spans="1:5" x14ac:dyDescent="0.35">
      <c r="A3" t="s">
        <v>129</v>
      </c>
      <c r="B3" t="s">
        <v>130</v>
      </c>
      <c r="C3" s="1">
        <v>85000</v>
      </c>
      <c r="D3" s="1">
        <v>100000</v>
      </c>
      <c r="E3" s="2">
        <v>0.67</v>
      </c>
    </row>
    <row r="4" spans="1:5" x14ac:dyDescent="0.35">
      <c r="A4" t="s">
        <v>131</v>
      </c>
      <c r="B4" t="s">
        <v>132</v>
      </c>
      <c r="C4" s="1">
        <v>85000</v>
      </c>
      <c r="D4" s="1">
        <v>100000</v>
      </c>
      <c r="E4" s="2">
        <v>0.67</v>
      </c>
    </row>
    <row r="5" spans="1:5" x14ac:dyDescent="0.35">
      <c r="A5" t="s">
        <v>133</v>
      </c>
      <c r="B5" t="s">
        <v>134</v>
      </c>
      <c r="C5" s="1">
        <v>85000</v>
      </c>
      <c r="D5" s="1">
        <v>100000</v>
      </c>
      <c r="E5" s="2">
        <v>0.67</v>
      </c>
    </row>
    <row r="6" spans="1:5" x14ac:dyDescent="0.35">
      <c r="A6" t="s">
        <v>135</v>
      </c>
      <c r="B6" t="s">
        <v>136</v>
      </c>
      <c r="C6" s="1">
        <v>85000</v>
      </c>
      <c r="D6" s="1">
        <v>100000</v>
      </c>
      <c r="E6" s="2">
        <v>0.67</v>
      </c>
    </row>
    <row r="7" spans="1:5" x14ac:dyDescent="0.35">
      <c r="A7" t="s">
        <v>137</v>
      </c>
      <c r="B7" t="s">
        <v>138</v>
      </c>
      <c r="C7" s="1">
        <v>85000</v>
      </c>
      <c r="D7" s="1">
        <v>100000</v>
      </c>
      <c r="E7" s="2">
        <v>0.67</v>
      </c>
    </row>
    <row r="8" spans="1:5" x14ac:dyDescent="0.35">
      <c r="A8" t="s">
        <v>139</v>
      </c>
      <c r="B8" t="s">
        <v>140</v>
      </c>
      <c r="C8" s="1">
        <v>85000</v>
      </c>
      <c r="D8" s="1">
        <v>100000</v>
      </c>
      <c r="E8" s="2">
        <v>0.67</v>
      </c>
    </row>
    <row r="9" spans="1:5" x14ac:dyDescent="0.35">
      <c r="A9" t="s">
        <v>141</v>
      </c>
      <c r="B9" t="s">
        <v>142</v>
      </c>
      <c r="C9" s="1">
        <v>85000</v>
      </c>
      <c r="D9" s="1">
        <v>100000</v>
      </c>
      <c r="E9" s="2">
        <v>0.67</v>
      </c>
    </row>
    <row r="10" spans="1:5" x14ac:dyDescent="0.35">
      <c r="A10" t="s">
        <v>143</v>
      </c>
      <c r="B10" t="s">
        <v>144</v>
      </c>
      <c r="C10" s="1">
        <v>85000</v>
      </c>
      <c r="D10" s="1">
        <v>100000</v>
      </c>
      <c r="E10" s="2">
        <v>0.67</v>
      </c>
    </row>
    <row r="11" spans="1:5" x14ac:dyDescent="0.35">
      <c r="A11" t="s">
        <v>145</v>
      </c>
      <c r="B11" t="s">
        <v>146</v>
      </c>
      <c r="C11" s="1">
        <v>85000</v>
      </c>
      <c r="D11" s="1">
        <v>100000</v>
      </c>
      <c r="E11" s="2">
        <v>0.67</v>
      </c>
    </row>
    <row r="12" spans="1:5" x14ac:dyDescent="0.35">
      <c r="A12" t="s">
        <v>147</v>
      </c>
      <c r="B12" t="s">
        <v>148</v>
      </c>
      <c r="C12" s="1">
        <v>85000</v>
      </c>
      <c r="D12" s="1">
        <v>100000</v>
      </c>
      <c r="E12" s="2">
        <v>0.67</v>
      </c>
    </row>
    <row r="13" spans="1:5" x14ac:dyDescent="0.35">
      <c r="A13" t="s">
        <v>149</v>
      </c>
      <c r="B13" t="s">
        <v>150</v>
      </c>
      <c r="C13" s="1">
        <v>85000</v>
      </c>
      <c r="D13" s="1">
        <v>100000</v>
      </c>
      <c r="E13" s="2">
        <v>0.67</v>
      </c>
    </row>
    <row r="14" spans="1:5" x14ac:dyDescent="0.35">
      <c r="A14" t="s">
        <v>151</v>
      </c>
      <c r="B14" t="s">
        <v>152</v>
      </c>
      <c r="C14" s="1">
        <v>85000</v>
      </c>
      <c r="D14" s="1">
        <v>100000</v>
      </c>
      <c r="E14" s="2">
        <v>0.67</v>
      </c>
    </row>
    <row r="15" spans="1:5" x14ac:dyDescent="0.35">
      <c r="A15" t="s">
        <v>153</v>
      </c>
      <c r="B15" t="s">
        <v>154</v>
      </c>
      <c r="C15" s="1">
        <v>85000</v>
      </c>
      <c r="D15" s="1">
        <v>100000</v>
      </c>
      <c r="E15" s="2">
        <v>0.67</v>
      </c>
    </row>
    <row r="16" spans="1:5" x14ac:dyDescent="0.35">
      <c r="A16" t="s">
        <v>155</v>
      </c>
      <c r="B16" t="s">
        <v>156</v>
      </c>
      <c r="C16" s="1">
        <v>85000</v>
      </c>
      <c r="D16" s="1">
        <v>100000</v>
      </c>
      <c r="E16" s="2">
        <v>0.67</v>
      </c>
    </row>
    <row r="17" spans="1:5" x14ac:dyDescent="0.35">
      <c r="A17" t="s">
        <v>157</v>
      </c>
      <c r="B17" t="s">
        <v>158</v>
      </c>
      <c r="C17" s="1">
        <v>85000</v>
      </c>
      <c r="D17" s="1">
        <v>100000</v>
      </c>
      <c r="E17" s="2">
        <v>0.67</v>
      </c>
    </row>
    <row r="18" spans="1:5" x14ac:dyDescent="0.35">
      <c r="A18" t="s">
        <v>159</v>
      </c>
      <c r="B18" t="s">
        <v>160</v>
      </c>
      <c r="C18" s="1">
        <v>85000</v>
      </c>
      <c r="D18" s="1">
        <v>100000</v>
      </c>
      <c r="E18" s="2">
        <v>0.67</v>
      </c>
    </row>
    <row r="19" spans="1:5" x14ac:dyDescent="0.35">
      <c r="A19" t="s">
        <v>161</v>
      </c>
      <c r="B19" t="s">
        <v>162</v>
      </c>
      <c r="C19" s="1">
        <v>85000</v>
      </c>
      <c r="D19" s="1">
        <v>100000</v>
      </c>
      <c r="E19" s="2">
        <v>0.67</v>
      </c>
    </row>
    <row r="20" spans="1:5" x14ac:dyDescent="0.35">
      <c r="A20" t="s">
        <v>163</v>
      </c>
      <c r="B20" t="s">
        <v>164</v>
      </c>
      <c r="C20" s="1">
        <v>85000</v>
      </c>
      <c r="D20" s="1">
        <v>100000</v>
      </c>
      <c r="E20" s="2">
        <v>0.67</v>
      </c>
    </row>
    <row r="21" spans="1:5" x14ac:dyDescent="0.35">
      <c r="A21" t="s">
        <v>165</v>
      </c>
      <c r="B21" t="s">
        <v>166</v>
      </c>
      <c r="C21" s="1">
        <v>85000</v>
      </c>
      <c r="D21" s="1">
        <v>100000</v>
      </c>
      <c r="E21" s="2">
        <v>0.67</v>
      </c>
    </row>
    <row r="22" spans="1:5" x14ac:dyDescent="0.35">
      <c r="A22" t="s">
        <v>167</v>
      </c>
      <c r="B22" t="s">
        <v>168</v>
      </c>
      <c r="C22" s="1">
        <v>85000</v>
      </c>
      <c r="D22" s="1">
        <v>100000</v>
      </c>
      <c r="E22" s="2">
        <v>0.67</v>
      </c>
    </row>
    <row r="23" spans="1:5" x14ac:dyDescent="0.35">
      <c r="A23" t="s">
        <v>169</v>
      </c>
      <c r="B23" t="s">
        <v>170</v>
      </c>
      <c r="C23" s="1">
        <v>85000</v>
      </c>
      <c r="D23" s="1">
        <v>100000</v>
      </c>
      <c r="E23" s="2">
        <v>0.67</v>
      </c>
    </row>
    <row r="24" spans="1:5" x14ac:dyDescent="0.35">
      <c r="A24" t="s">
        <v>171</v>
      </c>
      <c r="B24" t="s">
        <v>172</v>
      </c>
      <c r="C24" s="1">
        <v>85000</v>
      </c>
      <c r="D24" s="1">
        <v>100000</v>
      </c>
      <c r="E24" s="2">
        <v>0.67</v>
      </c>
    </row>
    <row r="25" spans="1:5" x14ac:dyDescent="0.35">
      <c r="A25" t="s">
        <v>173</v>
      </c>
      <c r="B25" t="s">
        <v>174</v>
      </c>
      <c r="C25" s="1">
        <v>85000</v>
      </c>
      <c r="D25" s="1">
        <v>100000</v>
      </c>
      <c r="E25" s="2">
        <v>0.67</v>
      </c>
    </row>
    <row r="26" spans="1:5" x14ac:dyDescent="0.35">
      <c r="A26" t="s">
        <v>175</v>
      </c>
      <c r="B26" t="s">
        <v>176</v>
      </c>
      <c r="C26" s="1">
        <v>85000</v>
      </c>
      <c r="D26" s="1">
        <v>100000</v>
      </c>
      <c r="E26" s="2">
        <v>0.67</v>
      </c>
    </row>
    <row r="27" spans="1:5" x14ac:dyDescent="0.35">
      <c r="A27" t="s">
        <v>177</v>
      </c>
      <c r="B27" t="s">
        <v>178</v>
      </c>
      <c r="C27" s="1">
        <v>85000</v>
      </c>
      <c r="D27" s="1">
        <v>100000</v>
      </c>
      <c r="E27" s="2">
        <v>0.67</v>
      </c>
    </row>
    <row r="28" spans="1:5" x14ac:dyDescent="0.35">
      <c r="A28" t="s">
        <v>179</v>
      </c>
      <c r="B28" t="s">
        <v>180</v>
      </c>
      <c r="C28" s="1">
        <v>85000</v>
      </c>
      <c r="D28" s="1">
        <v>100000</v>
      </c>
      <c r="E28" s="2">
        <v>0.67</v>
      </c>
    </row>
    <row r="29" spans="1:5" x14ac:dyDescent="0.35">
      <c r="A29" t="s">
        <v>181</v>
      </c>
      <c r="B29" t="s">
        <v>182</v>
      </c>
      <c r="C29" s="1">
        <v>85000</v>
      </c>
      <c r="D29" s="1">
        <v>100000</v>
      </c>
      <c r="E29" s="2">
        <v>0.67</v>
      </c>
    </row>
    <row r="30" spans="1:5" x14ac:dyDescent="0.35">
      <c r="A30" t="s">
        <v>183</v>
      </c>
      <c r="B30" t="s">
        <v>184</v>
      </c>
      <c r="C30" s="1">
        <v>85000</v>
      </c>
      <c r="D30" s="1">
        <v>100000</v>
      </c>
      <c r="E30" s="2">
        <v>0.67</v>
      </c>
    </row>
    <row r="31" spans="1:5" x14ac:dyDescent="0.35">
      <c r="A31" t="s">
        <v>185</v>
      </c>
      <c r="B31" t="s">
        <v>186</v>
      </c>
      <c r="C31" s="1">
        <v>85000</v>
      </c>
      <c r="D31" s="1">
        <v>100000</v>
      </c>
      <c r="E31" s="2">
        <v>0.67</v>
      </c>
    </row>
    <row r="32" spans="1:5" x14ac:dyDescent="0.35">
      <c r="A32" t="s">
        <v>187</v>
      </c>
      <c r="B32" t="s">
        <v>188</v>
      </c>
      <c r="C32" s="1">
        <v>85000</v>
      </c>
      <c r="D32" s="1">
        <v>100000</v>
      </c>
      <c r="E32" s="2">
        <v>0.67</v>
      </c>
    </row>
    <row r="33" spans="1:5" x14ac:dyDescent="0.35">
      <c r="A33" t="s">
        <v>189</v>
      </c>
      <c r="B33" t="s">
        <v>190</v>
      </c>
      <c r="C33" s="1">
        <v>85000</v>
      </c>
      <c r="D33" s="1">
        <v>100000</v>
      </c>
      <c r="E33" s="2">
        <v>0.67</v>
      </c>
    </row>
    <row r="34" spans="1:5" x14ac:dyDescent="0.35">
      <c r="A34" t="s">
        <v>191</v>
      </c>
      <c r="B34" t="s">
        <v>192</v>
      </c>
      <c r="C34" s="1">
        <v>85000</v>
      </c>
      <c r="D34" s="1">
        <v>100000</v>
      </c>
      <c r="E34" s="2">
        <v>0.67</v>
      </c>
    </row>
    <row r="35" spans="1:5" x14ac:dyDescent="0.35">
      <c r="A35" t="s">
        <v>193</v>
      </c>
      <c r="B35" t="s">
        <v>194</v>
      </c>
      <c r="C35" s="1">
        <v>85000</v>
      </c>
      <c r="D35" s="1">
        <v>100000</v>
      </c>
      <c r="E35" s="2">
        <v>0.67</v>
      </c>
    </row>
    <row r="36" spans="1:5" x14ac:dyDescent="0.35">
      <c r="A36" t="s">
        <v>195</v>
      </c>
      <c r="B36" t="s">
        <v>196</v>
      </c>
      <c r="C36" s="1">
        <v>85000</v>
      </c>
      <c r="D36" s="1">
        <v>100000</v>
      </c>
      <c r="E36" s="2">
        <v>0.67</v>
      </c>
    </row>
    <row r="37" spans="1:5" x14ac:dyDescent="0.35">
      <c r="A37" t="s">
        <v>197</v>
      </c>
      <c r="B37" t="s">
        <v>198</v>
      </c>
      <c r="C37" s="1">
        <v>85000</v>
      </c>
      <c r="D37" s="1">
        <v>100000</v>
      </c>
      <c r="E37" s="2">
        <v>0.67</v>
      </c>
    </row>
    <row r="38" spans="1:5" x14ac:dyDescent="0.35">
      <c r="A38" t="s">
        <v>199</v>
      </c>
      <c r="B38" t="s">
        <v>200</v>
      </c>
      <c r="C38" s="1">
        <v>85000</v>
      </c>
      <c r="D38" s="1">
        <v>100000</v>
      </c>
      <c r="E38" s="2">
        <v>0.67</v>
      </c>
    </row>
    <row r="39" spans="1:5" x14ac:dyDescent="0.35">
      <c r="A39" t="s">
        <v>201</v>
      </c>
      <c r="B39" t="s">
        <v>202</v>
      </c>
      <c r="C39" s="1">
        <v>85000</v>
      </c>
      <c r="D39" s="1">
        <v>100000</v>
      </c>
      <c r="E39" s="2">
        <v>0.67</v>
      </c>
    </row>
    <row r="40" spans="1:5" x14ac:dyDescent="0.35">
      <c r="A40" t="s">
        <v>203</v>
      </c>
      <c r="B40" t="s">
        <v>204</v>
      </c>
      <c r="C40" s="1">
        <v>85000</v>
      </c>
      <c r="D40" s="1">
        <v>100000</v>
      </c>
      <c r="E40" s="2">
        <v>0.67</v>
      </c>
    </row>
    <row r="41" spans="1:5" x14ac:dyDescent="0.35">
      <c r="A41" t="s">
        <v>205</v>
      </c>
      <c r="B41" t="s">
        <v>206</v>
      </c>
      <c r="C41" s="1">
        <v>85000</v>
      </c>
      <c r="D41" s="1">
        <v>100000</v>
      </c>
      <c r="E41" s="2">
        <v>0.67</v>
      </c>
    </row>
    <row r="42" spans="1:5" x14ac:dyDescent="0.35">
      <c r="A42" t="s">
        <v>207</v>
      </c>
      <c r="B42" t="s">
        <v>208</v>
      </c>
      <c r="C42" s="1">
        <v>85000</v>
      </c>
      <c r="D42" s="1">
        <v>100000</v>
      </c>
      <c r="E42" s="2">
        <v>0.67</v>
      </c>
    </row>
    <row r="43" spans="1:5" x14ac:dyDescent="0.35">
      <c r="A43" t="s">
        <v>209</v>
      </c>
      <c r="B43" t="s">
        <v>210</v>
      </c>
      <c r="C43" s="1">
        <v>85000</v>
      </c>
      <c r="D43" s="1">
        <v>100000</v>
      </c>
      <c r="E43" s="2">
        <v>0.67</v>
      </c>
    </row>
    <row r="44" spans="1:5" x14ac:dyDescent="0.35">
      <c r="A44" t="s">
        <v>211</v>
      </c>
      <c r="B44" t="s">
        <v>212</v>
      </c>
      <c r="C44" s="1">
        <v>85000</v>
      </c>
      <c r="D44" s="1">
        <v>100000</v>
      </c>
      <c r="E44" s="2">
        <v>0.67</v>
      </c>
    </row>
    <row r="45" spans="1:5" x14ac:dyDescent="0.35">
      <c r="A45" t="s">
        <v>213</v>
      </c>
      <c r="B45" t="s">
        <v>214</v>
      </c>
      <c r="C45" s="1">
        <v>85000</v>
      </c>
      <c r="D45" s="1">
        <v>100000</v>
      </c>
      <c r="E45" s="2">
        <v>0.67</v>
      </c>
    </row>
    <row r="46" spans="1:5" x14ac:dyDescent="0.35">
      <c r="A46" t="s">
        <v>215</v>
      </c>
      <c r="B46" t="s">
        <v>216</v>
      </c>
      <c r="C46" s="1">
        <v>85000</v>
      </c>
      <c r="D46" s="1">
        <v>100000</v>
      </c>
      <c r="E46" s="2">
        <v>0.67</v>
      </c>
    </row>
    <row r="47" spans="1:5" x14ac:dyDescent="0.35">
      <c r="A47" t="s">
        <v>217</v>
      </c>
      <c r="B47" t="s">
        <v>218</v>
      </c>
      <c r="C47" s="1">
        <v>85000</v>
      </c>
      <c r="D47" s="1">
        <v>100000</v>
      </c>
      <c r="E47" s="2">
        <v>0.67</v>
      </c>
    </row>
    <row r="48" spans="1:5" x14ac:dyDescent="0.35">
      <c r="A48" t="s">
        <v>219</v>
      </c>
      <c r="B48" t="s">
        <v>220</v>
      </c>
      <c r="C48" s="1">
        <v>85000</v>
      </c>
      <c r="D48" s="1">
        <v>100000</v>
      </c>
      <c r="E48" s="2">
        <v>0.67</v>
      </c>
    </row>
    <row r="49" spans="1:5" x14ac:dyDescent="0.35">
      <c r="A49" t="s">
        <v>221</v>
      </c>
      <c r="B49" t="s">
        <v>222</v>
      </c>
      <c r="C49" s="1">
        <v>85000</v>
      </c>
      <c r="D49" s="1">
        <v>100000</v>
      </c>
      <c r="E49" s="2">
        <v>0.67</v>
      </c>
    </row>
    <row r="50" spans="1:5" x14ac:dyDescent="0.35">
      <c r="A50" t="s">
        <v>223</v>
      </c>
      <c r="B50" t="s">
        <v>224</v>
      </c>
      <c r="C50" s="1">
        <v>85000</v>
      </c>
      <c r="D50" s="1">
        <v>100000</v>
      </c>
      <c r="E50" s="2">
        <v>0.67</v>
      </c>
    </row>
    <row r="51" spans="1:5" x14ac:dyDescent="0.35">
      <c r="A51" t="s">
        <v>225</v>
      </c>
      <c r="B51" t="s">
        <v>226</v>
      </c>
      <c r="C51" s="1">
        <v>85000</v>
      </c>
      <c r="D51" s="1">
        <v>100000</v>
      </c>
      <c r="E51" s="2">
        <v>0.67</v>
      </c>
    </row>
    <row r="52" spans="1:5" x14ac:dyDescent="0.35">
      <c r="A52" t="s">
        <v>227</v>
      </c>
      <c r="B52" t="s">
        <v>228</v>
      </c>
      <c r="C52" s="1">
        <v>85000</v>
      </c>
      <c r="D52" s="1">
        <v>100000</v>
      </c>
      <c r="E52" s="2">
        <v>0.67</v>
      </c>
    </row>
    <row r="53" spans="1:5" x14ac:dyDescent="0.35">
      <c r="A53" t="s">
        <v>229</v>
      </c>
      <c r="B53" t="s">
        <v>230</v>
      </c>
      <c r="C53" s="1">
        <v>85000</v>
      </c>
      <c r="D53" s="1">
        <v>100000</v>
      </c>
      <c r="E53" s="2">
        <v>0.67</v>
      </c>
    </row>
    <row r="54" spans="1:5" x14ac:dyDescent="0.35">
      <c r="A54" t="s">
        <v>231</v>
      </c>
      <c r="B54" t="s">
        <v>232</v>
      </c>
      <c r="C54" s="1">
        <v>85000</v>
      </c>
      <c r="D54" s="1">
        <v>100000</v>
      </c>
      <c r="E54" s="2">
        <v>0.67</v>
      </c>
    </row>
    <row r="55" spans="1:5" x14ac:dyDescent="0.35">
      <c r="A55" t="s">
        <v>233</v>
      </c>
      <c r="B55" t="s">
        <v>234</v>
      </c>
      <c r="C55" s="1">
        <v>85000</v>
      </c>
      <c r="D55" s="1">
        <v>100000</v>
      </c>
      <c r="E55" s="2">
        <v>0.67</v>
      </c>
    </row>
    <row r="56" spans="1:5" x14ac:dyDescent="0.35">
      <c r="A56" t="s">
        <v>235</v>
      </c>
      <c r="B56" t="s">
        <v>236</v>
      </c>
      <c r="C56" s="1">
        <v>85000</v>
      </c>
      <c r="D56" s="1">
        <v>100000</v>
      </c>
      <c r="E56" s="2">
        <v>0.67</v>
      </c>
    </row>
    <row r="57" spans="1:5" x14ac:dyDescent="0.35">
      <c r="A57" t="s">
        <v>237</v>
      </c>
      <c r="B57" t="s">
        <v>238</v>
      </c>
      <c r="C57" s="1">
        <v>85000</v>
      </c>
      <c r="D57" s="1">
        <v>100000</v>
      </c>
      <c r="E57" s="2">
        <v>0.67</v>
      </c>
    </row>
    <row r="58" spans="1:5" x14ac:dyDescent="0.35">
      <c r="A58" t="s">
        <v>239</v>
      </c>
      <c r="B58" t="s">
        <v>240</v>
      </c>
      <c r="C58" s="1">
        <v>85000</v>
      </c>
      <c r="D58" s="1">
        <v>100000</v>
      </c>
      <c r="E58" s="2">
        <v>0.67</v>
      </c>
    </row>
    <row r="59" spans="1:5" x14ac:dyDescent="0.35">
      <c r="A59" t="s">
        <v>241</v>
      </c>
      <c r="B59" t="s">
        <v>242</v>
      </c>
      <c r="C59" s="1">
        <v>85000</v>
      </c>
      <c r="D59" s="1">
        <v>100000</v>
      </c>
      <c r="E59" s="2">
        <v>0.67</v>
      </c>
    </row>
    <row r="60" spans="1:5" x14ac:dyDescent="0.35">
      <c r="A60" t="s">
        <v>243</v>
      </c>
      <c r="B60" t="s">
        <v>244</v>
      </c>
      <c r="C60" s="1">
        <v>85000</v>
      </c>
      <c r="D60" s="1">
        <v>100000</v>
      </c>
      <c r="E60" s="2">
        <v>0.67</v>
      </c>
    </row>
    <row r="61" spans="1:5" x14ac:dyDescent="0.35">
      <c r="A61" t="s">
        <v>245</v>
      </c>
      <c r="B61" t="s">
        <v>246</v>
      </c>
      <c r="C61" s="1">
        <v>85000</v>
      </c>
      <c r="D61" s="1">
        <v>100000</v>
      </c>
      <c r="E61" s="2">
        <v>0.67</v>
      </c>
    </row>
    <row r="62" spans="1:5" x14ac:dyDescent="0.35">
      <c r="A62" t="s">
        <v>247</v>
      </c>
      <c r="B62" t="s">
        <v>248</v>
      </c>
      <c r="C62" s="1">
        <v>85000</v>
      </c>
      <c r="D62" s="1">
        <v>100000</v>
      </c>
      <c r="E62" s="2">
        <v>0.67</v>
      </c>
    </row>
    <row r="63" spans="1:5" x14ac:dyDescent="0.35">
      <c r="A63" t="s">
        <v>249</v>
      </c>
      <c r="B63" t="s">
        <v>250</v>
      </c>
      <c r="C63" s="1">
        <v>85000</v>
      </c>
      <c r="D63" s="1">
        <v>100000</v>
      </c>
      <c r="E63" s="2">
        <v>0.67</v>
      </c>
    </row>
    <row r="64" spans="1:5" x14ac:dyDescent="0.35">
      <c r="A64" t="s">
        <v>251</v>
      </c>
      <c r="B64" t="s">
        <v>252</v>
      </c>
      <c r="C64" s="1">
        <v>85000</v>
      </c>
      <c r="D64" s="1">
        <v>100000</v>
      </c>
      <c r="E64" s="2">
        <v>0.67</v>
      </c>
    </row>
    <row r="65" spans="1:5" x14ac:dyDescent="0.35">
      <c r="A65" t="s">
        <v>253</v>
      </c>
      <c r="B65" t="s">
        <v>254</v>
      </c>
      <c r="C65" s="1">
        <v>85000</v>
      </c>
      <c r="D65" s="1">
        <v>100000</v>
      </c>
      <c r="E65" s="2">
        <v>0.67</v>
      </c>
    </row>
    <row r="66" spans="1:5" x14ac:dyDescent="0.35">
      <c r="A66" t="s">
        <v>255</v>
      </c>
      <c r="B66" t="s">
        <v>256</v>
      </c>
      <c r="C66" s="1">
        <v>85000</v>
      </c>
      <c r="D66" s="1">
        <v>100000</v>
      </c>
      <c r="E66" s="2">
        <v>0.67</v>
      </c>
    </row>
    <row r="67" spans="1:5" x14ac:dyDescent="0.35">
      <c r="A67" t="s">
        <v>257</v>
      </c>
      <c r="B67" t="s">
        <v>258</v>
      </c>
      <c r="C67" s="1">
        <v>85000</v>
      </c>
      <c r="D67" s="1">
        <v>100000</v>
      </c>
      <c r="E67" s="2">
        <v>0.67</v>
      </c>
    </row>
    <row r="68" spans="1:5" x14ac:dyDescent="0.35">
      <c r="A68" t="s">
        <v>259</v>
      </c>
      <c r="B68" t="s">
        <v>260</v>
      </c>
      <c r="C68" s="1">
        <v>85000</v>
      </c>
      <c r="D68" s="1">
        <v>100000</v>
      </c>
      <c r="E68" s="2">
        <v>0.67</v>
      </c>
    </row>
    <row r="69" spans="1:5" x14ac:dyDescent="0.35">
      <c r="A69" t="s">
        <v>261</v>
      </c>
      <c r="B69" t="s">
        <v>262</v>
      </c>
      <c r="C69" s="1">
        <v>85000</v>
      </c>
      <c r="D69" s="1">
        <v>100000</v>
      </c>
      <c r="E69" s="2">
        <v>0.67</v>
      </c>
    </row>
    <row r="70" spans="1:5" x14ac:dyDescent="0.35">
      <c r="A70" t="s">
        <v>263</v>
      </c>
      <c r="B70" t="s">
        <v>264</v>
      </c>
      <c r="C70" s="1">
        <v>85000</v>
      </c>
      <c r="D70" s="1">
        <v>100000</v>
      </c>
      <c r="E70" s="2">
        <v>0.67</v>
      </c>
    </row>
    <row r="71" spans="1:5" x14ac:dyDescent="0.35">
      <c r="A71" t="s">
        <v>265</v>
      </c>
      <c r="B71" t="s">
        <v>266</v>
      </c>
      <c r="C71" s="1">
        <v>85000</v>
      </c>
      <c r="D71" s="1">
        <v>100000</v>
      </c>
      <c r="E71" s="2">
        <v>0.67</v>
      </c>
    </row>
    <row r="72" spans="1:5" x14ac:dyDescent="0.35">
      <c r="A72" t="s">
        <v>267</v>
      </c>
      <c r="B72" t="s">
        <v>268</v>
      </c>
      <c r="C72" s="1">
        <v>85000</v>
      </c>
      <c r="D72" s="1">
        <v>100000</v>
      </c>
      <c r="E72" s="2">
        <v>0.4</v>
      </c>
    </row>
    <row r="73" spans="1:5" x14ac:dyDescent="0.35">
      <c r="A73" t="s">
        <v>269</v>
      </c>
      <c r="B73" t="s">
        <v>270</v>
      </c>
      <c r="C73" s="1">
        <v>85000</v>
      </c>
      <c r="D73" s="1">
        <v>100000</v>
      </c>
      <c r="E73" s="2">
        <v>0.4</v>
      </c>
    </row>
    <row r="74" spans="1:5" x14ac:dyDescent="0.35">
      <c r="A74" t="s">
        <v>271</v>
      </c>
      <c r="B74" t="s">
        <v>272</v>
      </c>
      <c r="C74" s="1">
        <v>85000</v>
      </c>
      <c r="D74" s="1">
        <v>100000</v>
      </c>
      <c r="E74" s="2">
        <v>0.4</v>
      </c>
    </row>
    <row r="75" spans="1:5" x14ac:dyDescent="0.35">
      <c r="A75" t="s">
        <v>273</v>
      </c>
      <c r="B75" t="s">
        <v>274</v>
      </c>
      <c r="C75" s="1">
        <v>85000</v>
      </c>
      <c r="D75" s="1">
        <v>100000</v>
      </c>
      <c r="E75" s="2">
        <v>0.4</v>
      </c>
    </row>
    <row r="76" spans="1:5" x14ac:dyDescent="0.35">
      <c r="A76" t="s">
        <v>275</v>
      </c>
      <c r="B76" t="s">
        <v>276</v>
      </c>
      <c r="C76" s="1">
        <v>85000</v>
      </c>
      <c r="D76" s="1">
        <v>100000</v>
      </c>
      <c r="E76" s="2">
        <v>0.4</v>
      </c>
    </row>
    <row r="77" spans="1:5" x14ac:dyDescent="0.35">
      <c r="A77" t="s">
        <v>277</v>
      </c>
      <c r="B77" t="s">
        <v>278</v>
      </c>
      <c r="C77" s="1">
        <v>85000</v>
      </c>
      <c r="D77" s="1">
        <v>100000</v>
      </c>
      <c r="E77" s="2">
        <v>0.4</v>
      </c>
    </row>
    <row r="78" spans="1:5" x14ac:dyDescent="0.35">
      <c r="A78" t="s">
        <v>279</v>
      </c>
      <c r="B78" t="s">
        <v>280</v>
      </c>
      <c r="C78" s="1">
        <v>85000</v>
      </c>
      <c r="D78" s="1">
        <v>100000</v>
      </c>
      <c r="E78" s="2">
        <v>0.4</v>
      </c>
    </row>
    <row r="79" spans="1:5" x14ac:dyDescent="0.35">
      <c r="A79" t="s">
        <v>281</v>
      </c>
      <c r="B79" t="s">
        <v>282</v>
      </c>
      <c r="C79" s="1">
        <v>85000</v>
      </c>
      <c r="D79" s="1">
        <v>100000</v>
      </c>
      <c r="E79" s="2">
        <v>0.4</v>
      </c>
    </row>
    <row r="80" spans="1:5" x14ac:dyDescent="0.35">
      <c r="A80" t="s">
        <v>283</v>
      </c>
      <c r="B80" t="s">
        <v>284</v>
      </c>
      <c r="C80" s="1">
        <v>85000</v>
      </c>
      <c r="D80" s="1">
        <v>100000</v>
      </c>
      <c r="E80" s="2">
        <v>0.4</v>
      </c>
    </row>
    <row r="81" spans="1:5" x14ac:dyDescent="0.35">
      <c r="A81" t="s">
        <v>285</v>
      </c>
      <c r="B81" t="s">
        <v>286</v>
      </c>
      <c r="C81" s="1">
        <v>85000</v>
      </c>
      <c r="D81" s="1">
        <v>100000</v>
      </c>
      <c r="E81" s="2">
        <v>0.4</v>
      </c>
    </row>
    <row r="82" spans="1:5" x14ac:dyDescent="0.35">
      <c r="A82" t="s">
        <v>287</v>
      </c>
      <c r="B82" t="s">
        <v>288</v>
      </c>
      <c r="C82" s="1">
        <v>85000</v>
      </c>
      <c r="D82" s="1">
        <v>100000</v>
      </c>
      <c r="E82" s="2">
        <v>0.4</v>
      </c>
    </row>
    <row r="83" spans="1:5" x14ac:dyDescent="0.35">
      <c r="A83" t="s">
        <v>289</v>
      </c>
      <c r="B83" t="s">
        <v>290</v>
      </c>
      <c r="C83" s="1">
        <v>85000</v>
      </c>
      <c r="D83" s="1">
        <v>100000</v>
      </c>
      <c r="E83" s="2">
        <v>0.4</v>
      </c>
    </row>
    <row r="84" spans="1:5" x14ac:dyDescent="0.35">
      <c r="A84" t="s">
        <v>291</v>
      </c>
      <c r="B84" t="s">
        <v>292</v>
      </c>
      <c r="C84" s="1">
        <v>85000</v>
      </c>
      <c r="D84" s="1">
        <v>100000</v>
      </c>
      <c r="E84" s="2">
        <v>0.4</v>
      </c>
    </row>
    <row r="85" spans="1:5" x14ac:dyDescent="0.35">
      <c r="A85" t="s">
        <v>293</v>
      </c>
      <c r="B85" t="s">
        <v>294</v>
      </c>
      <c r="C85" s="1">
        <v>85000</v>
      </c>
      <c r="D85" s="1">
        <v>100000</v>
      </c>
      <c r="E85" s="2">
        <v>0.4</v>
      </c>
    </row>
    <row r="86" spans="1:5" x14ac:dyDescent="0.35">
      <c r="A86" t="s">
        <v>295</v>
      </c>
      <c r="B86" t="s">
        <v>296</v>
      </c>
      <c r="C86" s="1">
        <v>85000</v>
      </c>
      <c r="D86" s="1">
        <v>100000</v>
      </c>
      <c r="E86" s="2">
        <v>0.4</v>
      </c>
    </row>
    <row r="87" spans="1:5" x14ac:dyDescent="0.35">
      <c r="A87" t="s">
        <v>297</v>
      </c>
      <c r="B87" t="s">
        <v>298</v>
      </c>
      <c r="C87" s="1">
        <v>85000</v>
      </c>
      <c r="D87" s="1">
        <v>100000</v>
      </c>
      <c r="E87" s="2">
        <v>0.4</v>
      </c>
    </row>
    <row r="88" spans="1:5" x14ac:dyDescent="0.35">
      <c r="A88" t="s">
        <v>299</v>
      </c>
      <c r="B88" t="s">
        <v>300</v>
      </c>
      <c r="C88" s="1">
        <v>85000</v>
      </c>
      <c r="D88" s="1">
        <v>100000</v>
      </c>
      <c r="E88" s="2">
        <v>0.4</v>
      </c>
    </row>
    <row r="89" spans="1:5" x14ac:dyDescent="0.35">
      <c r="A89" t="s">
        <v>301</v>
      </c>
      <c r="B89" t="s">
        <v>302</v>
      </c>
      <c r="C89" s="1">
        <v>85000</v>
      </c>
      <c r="D89" s="1">
        <v>100000</v>
      </c>
      <c r="E89" s="2">
        <v>0.4</v>
      </c>
    </row>
    <row r="90" spans="1:5" x14ac:dyDescent="0.35">
      <c r="A90" t="s">
        <v>303</v>
      </c>
      <c r="B90" t="s">
        <v>304</v>
      </c>
      <c r="C90" s="1">
        <v>85000</v>
      </c>
      <c r="D90" s="1">
        <v>100000</v>
      </c>
      <c r="E90" s="2">
        <v>0.4</v>
      </c>
    </row>
    <row r="91" spans="1:5" x14ac:dyDescent="0.35">
      <c r="A91" t="s">
        <v>305</v>
      </c>
      <c r="B91" t="s">
        <v>306</v>
      </c>
      <c r="C91" s="1">
        <v>85000</v>
      </c>
      <c r="D91" s="1">
        <v>100000</v>
      </c>
      <c r="E91" s="2">
        <v>0.4</v>
      </c>
    </row>
    <row r="92" spans="1:5" x14ac:dyDescent="0.35">
      <c r="A92" t="s">
        <v>307</v>
      </c>
      <c r="B92" t="s">
        <v>308</v>
      </c>
      <c r="C92" s="1">
        <v>85000</v>
      </c>
      <c r="D92" s="1">
        <v>100000</v>
      </c>
      <c r="E92" s="2">
        <v>0.4</v>
      </c>
    </row>
    <row r="93" spans="1:5" x14ac:dyDescent="0.35">
      <c r="A93" t="s">
        <v>309</v>
      </c>
      <c r="B93" t="s">
        <v>310</v>
      </c>
      <c r="C93" s="1">
        <v>85000</v>
      </c>
      <c r="D93" s="1">
        <v>100000</v>
      </c>
      <c r="E93" s="2">
        <v>0.4</v>
      </c>
    </row>
    <row r="94" spans="1:5" x14ac:dyDescent="0.35">
      <c r="A94" t="s">
        <v>311</v>
      </c>
      <c r="B94" t="s">
        <v>312</v>
      </c>
      <c r="C94" s="1">
        <v>85000</v>
      </c>
      <c r="D94" s="1">
        <v>100000</v>
      </c>
      <c r="E94" s="2">
        <v>0.4</v>
      </c>
    </row>
    <row r="95" spans="1:5" x14ac:dyDescent="0.35">
      <c r="A95" t="s">
        <v>313</v>
      </c>
      <c r="B95" t="s">
        <v>314</v>
      </c>
      <c r="C95" s="1">
        <v>85000</v>
      </c>
      <c r="D95" s="1">
        <v>100000</v>
      </c>
      <c r="E95" s="2">
        <v>0.4</v>
      </c>
    </row>
    <row r="96" spans="1:5" x14ac:dyDescent="0.35">
      <c r="A96" t="s">
        <v>315</v>
      </c>
      <c r="B96" t="s">
        <v>316</v>
      </c>
      <c r="C96" s="1">
        <v>85000</v>
      </c>
      <c r="D96" s="1">
        <v>100000</v>
      </c>
      <c r="E96" s="2">
        <v>0.4</v>
      </c>
    </row>
    <row r="97" spans="1:5" x14ac:dyDescent="0.35">
      <c r="A97" t="s">
        <v>317</v>
      </c>
      <c r="B97" t="s">
        <v>318</v>
      </c>
      <c r="C97" s="1">
        <v>85000</v>
      </c>
      <c r="D97" s="1">
        <v>100000</v>
      </c>
      <c r="E97" s="2">
        <v>0.4</v>
      </c>
    </row>
    <row r="98" spans="1:5" x14ac:dyDescent="0.35">
      <c r="A98" t="s">
        <v>319</v>
      </c>
      <c r="B98" t="s">
        <v>320</v>
      </c>
      <c r="C98" s="1">
        <v>85000</v>
      </c>
      <c r="D98" s="1">
        <v>100000</v>
      </c>
      <c r="E98" s="2">
        <v>0.4</v>
      </c>
    </row>
    <row r="99" spans="1:5" x14ac:dyDescent="0.35">
      <c r="A99" t="s">
        <v>321</v>
      </c>
      <c r="B99" t="s">
        <v>322</v>
      </c>
      <c r="C99" s="1">
        <v>85000</v>
      </c>
      <c r="D99" s="1">
        <v>100000</v>
      </c>
      <c r="E99" s="2">
        <v>0.4</v>
      </c>
    </row>
    <row r="100" spans="1:5" x14ac:dyDescent="0.35">
      <c r="A100" t="s">
        <v>323</v>
      </c>
      <c r="B100" t="s">
        <v>324</v>
      </c>
      <c r="C100" s="1">
        <v>85000</v>
      </c>
      <c r="D100" s="1">
        <v>100000</v>
      </c>
      <c r="E100" s="2">
        <v>0.4</v>
      </c>
    </row>
    <row r="101" spans="1:5" x14ac:dyDescent="0.35">
      <c r="A101" t="s">
        <v>325</v>
      </c>
      <c r="B101" t="s">
        <v>326</v>
      </c>
      <c r="C101" s="1">
        <v>85000</v>
      </c>
      <c r="D101" s="1">
        <v>100000</v>
      </c>
      <c r="E101" s="2">
        <v>0.4</v>
      </c>
    </row>
    <row r="102" spans="1:5" x14ac:dyDescent="0.35">
      <c r="A102" t="s">
        <v>327</v>
      </c>
      <c r="B102" t="s">
        <v>328</v>
      </c>
      <c r="C102" s="1">
        <v>85000</v>
      </c>
      <c r="D102" s="1">
        <v>100000</v>
      </c>
      <c r="E102" s="2">
        <v>0.4</v>
      </c>
    </row>
    <row r="103" spans="1:5" x14ac:dyDescent="0.35">
      <c r="A103" t="s">
        <v>329</v>
      </c>
      <c r="B103" t="s">
        <v>330</v>
      </c>
      <c r="C103" s="1">
        <v>85000</v>
      </c>
      <c r="D103" s="1">
        <v>100000</v>
      </c>
      <c r="E103" s="2">
        <v>0.4</v>
      </c>
    </row>
    <row r="104" spans="1:5" x14ac:dyDescent="0.35">
      <c r="A104" t="s">
        <v>331</v>
      </c>
      <c r="B104" t="s">
        <v>332</v>
      </c>
      <c r="C104" s="1">
        <v>85000</v>
      </c>
      <c r="D104" s="1">
        <v>100000</v>
      </c>
      <c r="E104" s="2">
        <v>0.4</v>
      </c>
    </row>
    <row r="105" spans="1:5" x14ac:dyDescent="0.35">
      <c r="A105" t="s">
        <v>333</v>
      </c>
      <c r="B105" t="s">
        <v>334</v>
      </c>
      <c r="C105" s="1">
        <v>85000</v>
      </c>
      <c r="D105" s="1">
        <v>100000</v>
      </c>
      <c r="E105" s="2">
        <v>0.4</v>
      </c>
    </row>
    <row r="106" spans="1:5" x14ac:dyDescent="0.35">
      <c r="A106" t="s">
        <v>335</v>
      </c>
      <c r="B106" t="s">
        <v>336</v>
      </c>
      <c r="C106" s="1">
        <v>85000</v>
      </c>
      <c r="D106" s="1">
        <v>100000</v>
      </c>
      <c r="E106" s="2">
        <v>0.4</v>
      </c>
    </row>
    <row r="107" spans="1:5" x14ac:dyDescent="0.35">
      <c r="A107" t="s">
        <v>337</v>
      </c>
      <c r="B107" t="s">
        <v>338</v>
      </c>
      <c r="C107" s="1">
        <v>85000</v>
      </c>
      <c r="D107" s="1">
        <v>100000</v>
      </c>
      <c r="E107" s="2">
        <v>0.4</v>
      </c>
    </row>
    <row r="108" spans="1:5" x14ac:dyDescent="0.35">
      <c r="A108" t="s">
        <v>339</v>
      </c>
      <c r="B108" t="s">
        <v>340</v>
      </c>
      <c r="C108" s="1">
        <v>85000</v>
      </c>
      <c r="D108" s="1">
        <v>100000</v>
      </c>
      <c r="E108" s="2">
        <v>0.4</v>
      </c>
    </row>
    <row r="109" spans="1:5" x14ac:dyDescent="0.35">
      <c r="A109" t="s">
        <v>341</v>
      </c>
      <c r="B109" t="s">
        <v>342</v>
      </c>
      <c r="C109" s="1">
        <v>85000</v>
      </c>
      <c r="D109" s="1">
        <v>100000</v>
      </c>
      <c r="E109" s="2">
        <v>0.4</v>
      </c>
    </row>
    <row r="110" spans="1:5" x14ac:dyDescent="0.35">
      <c r="A110" t="s">
        <v>343</v>
      </c>
      <c r="B110" t="s">
        <v>344</v>
      </c>
      <c r="C110" s="1">
        <v>85000</v>
      </c>
      <c r="D110" s="1">
        <v>100000</v>
      </c>
      <c r="E110" s="2">
        <v>0.4</v>
      </c>
    </row>
    <row r="111" spans="1:5" x14ac:dyDescent="0.35">
      <c r="A111" t="s">
        <v>345</v>
      </c>
      <c r="B111" t="s">
        <v>346</v>
      </c>
      <c r="C111" s="1">
        <v>85000</v>
      </c>
      <c r="D111" s="1">
        <v>100000</v>
      </c>
      <c r="E111" s="2">
        <v>0.4</v>
      </c>
    </row>
    <row r="112" spans="1:5" x14ac:dyDescent="0.35">
      <c r="A112" t="s">
        <v>347</v>
      </c>
      <c r="B112" t="s">
        <v>348</v>
      </c>
      <c r="C112" s="1">
        <v>85000</v>
      </c>
      <c r="D112" s="1">
        <v>100000</v>
      </c>
      <c r="E112" s="2">
        <v>0.4</v>
      </c>
    </row>
    <row r="113" spans="1:5" x14ac:dyDescent="0.35">
      <c r="A113" t="s">
        <v>349</v>
      </c>
      <c r="B113" t="s">
        <v>350</v>
      </c>
      <c r="C113" s="1">
        <v>85000</v>
      </c>
      <c r="D113" s="1">
        <v>100000</v>
      </c>
      <c r="E113" s="2">
        <v>0.4</v>
      </c>
    </row>
    <row r="114" spans="1:5" x14ac:dyDescent="0.35">
      <c r="A114" t="s">
        <v>351</v>
      </c>
      <c r="B114" t="s">
        <v>352</v>
      </c>
      <c r="C114" s="1">
        <v>85000</v>
      </c>
      <c r="D114" s="1">
        <v>100000</v>
      </c>
      <c r="E114" s="2">
        <v>0.4</v>
      </c>
    </row>
    <row r="115" spans="1:5" x14ac:dyDescent="0.35">
      <c r="A115" t="s">
        <v>353</v>
      </c>
      <c r="B115" t="s">
        <v>354</v>
      </c>
      <c r="C115" s="1">
        <v>85000</v>
      </c>
      <c r="D115" s="1">
        <v>100000</v>
      </c>
      <c r="E115" s="2">
        <v>0.4</v>
      </c>
    </row>
    <row r="116" spans="1:5" x14ac:dyDescent="0.35">
      <c r="A116" t="s">
        <v>355</v>
      </c>
      <c r="B116" t="s">
        <v>356</v>
      </c>
      <c r="C116" s="1">
        <v>85000</v>
      </c>
      <c r="D116" s="1">
        <v>100000</v>
      </c>
      <c r="E116" s="2">
        <v>0.4</v>
      </c>
    </row>
    <row r="117" spans="1:5" x14ac:dyDescent="0.35">
      <c r="A117" t="s">
        <v>357</v>
      </c>
      <c r="B117" t="s">
        <v>358</v>
      </c>
      <c r="C117" s="1">
        <v>85000</v>
      </c>
      <c r="D117" s="1">
        <v>100000</v>
      </c>
      <c r="E117" s="2">
        <v>0.4</v>
      </c>
    </row>
    <row r="118" spans="1:5" x14ac:dyDescent="0.35">
      <c r="A118" t="s">
        <v>359</v>
      </c>
      <c r="B118" t="s">
        <v>360</v>
      </c>
      <c r="C118" s="1">
        <v>85000</v>
      </c>
      <c r="D118" s="1">
        <v>100000</v>
      </c>
      <c r="E118" s="2">
        <v>0.4</v>
      </c>
    </row>
    <row r="119" spans="1:5" x14ac:dyDescent="0.35">
      <c r="A119" t="s">
        <v>361</v>
      </c>
      <c r="B119" t="s">
        <v>362</v>
      </c>
      <c r="C119" s="1">
        <v>85000</v>
      </c>
      <c r="D119" s="1">
        <v>100000</v>
      </c>
      <c r="E119" s="2">
        <v>0.67</v>
      </c>
    </row>
    <row r="120" spans="1:5" x14ac:dyDescent="0.35">
      <c r="A120" t="s">
        <v>363</v>
      </c>
      <c r="B120" t="s">
        <v>364</v>
      </c>
      <c r="C120" s="1">
        <v>85000</v>
      </c>
      <c r="D120" s="1">
        <v>100000</v>
      </c>
      <c r="E120" s="2">
        <v>0.67</v>
      </c>
    </row>
    <row r="121" spans="1:5" x14ac:dyDescent="0.35">
      <c r="A121" t="s">
        <v>365</v>
      </c>
      <c r="B121" t="s">
        <v>366</v>
      </c>
      <c r="C121" s="1">
        <v>85000</v>
      </c>
      <c r="D121" s="1">
        <v>100000</v>
      </c>
      <c r="E121" s="2">
        <v>0.67</v>
      </c>
    </row>
    <row r="122" spans="1:5" x14ac:dyDescent="0.35">
      <c r="A122" t="s">
        <v>367</v>
      </c>
      <c r="B122" t="s">
        <v>368</v>
      </c>
      <c r="C122" s="1">
        <v>85000</v>
      </c>
      <c r="D122" s="1">
        <v>100000</v>
      </c>
      <c r="E122" s="2">
        <v>0.67</v>
      </c>
    </row>
    <row r="123" spans="1:5" x14ac:dyDescent="0.35">
      <c r="A123" t="s">
        <v>369</v>
      </c>
      <c r="B123" t="s">
        <v>370</v>
      </c>
      <c r="C123" s="1">
        <v>85000</v>
      </c>
      <c r="D123" s="1">
        <v>100000</v>
      </c>
      <c r="E123" s="2">
        <v>0.67</v>
      </c>
    </row>
    <row r="124" spans="1:5" x14ac:dyDescent="0.35">
      <c r="A124" t="s">
        <v>371</v>
      </c>
      <c r="B124" t="s">
        <v>372</v>
      </c>
      <c r="C124" s="1">
        <v>85000</v>
      </c>
      <c r="D124" s="1">
        <v>100000</v>
      </c>
      <c r="E124" s="2">
        <v>0.67</v>
      </c>
    </row>
    <row r="125" spans="1:5" x14ac:dyDescent="0.35">
      <c r="A125" t="s">
        <v>373</v>
      </c>
      <c r="B125" t="s">
        <v>374</v>
      </c>
      <c r="C125" s="1">
        <v>85000</v>
      </c>
      <c r="D125" s="1">
        <v>100000</v>
      </c>
      <c r="E125" s="2">
        <v>0.67</v>
      </c>
    </row>
    <row r="126" spans="1:5" x14ac:dyDescent="0.35">
      <c r="A126" t="s">
        <v>375</v>
      </c>
      <c r="B126" t="s">
        <v>376</v>
      </c>
      <c r="C126" s="1">
        <v>85000</v>
      </c>
      <c r="D126" s="1">
        <v>100000</v>
      </c>
      <c r="E126" s="2">
        <v>0.67</v>
      </c>
    </row>
    <row r="127" spans="1:5" x14ac:dyDescent="0.35">
      <c r="A127" t="s">
        <v>377</v>
      </c>
      <c r="B127" t="s">
        <v>378</v>
      </c>
      <c r="C127" s="1">
        <v>85000</v>
      </c>
      <c r="D127" s="1">
        <v>100000</v>
      </c>
      <c r="E127" s="2">
        <v>0.67</v>
      </c>
    </row>
    <row r="128" spans="1:5" x14ac:dyDescent="0.35">
      <c r="A128" t="s">
        <v>379</v>
      </c>
      <c r="B128" t="s">
        <v>380</v>
      </c>
      <c r="C128" s="1">
        <v>85000</v>
      </c>
      <c r="D128" s="1">
        <v>100000</v>
      </c>
      <c r="E128" s="2">
        <v>0.67</v>
      </c>
    </row>
    <row r="129" spans="1:5" x14ac:dyDescent="0.35">
      <c r="A129" t="s">
        <v>381</v>
      </c>
      <c r="B129" t="s">
        <v>382</v>
      </c>
      <c r="C129" s="1">
        <v>85000</v>
      </c>
      <c r="D129" s="1">
        <v>100000</v>
      </c>
      <c r="E129" s="2">
        <v>0.67</v>
      </c>
    </row>
    <row r="130" spans="1:5" x14ac:dyDescent="0.35">
      <c r="A130" t="s">
        <v>383</v>
      </c>
      <c r="B130" t="s">
        <v>384</v>
      </c>
      <c r="C130" s="1">
        <v>85000</v>
      </c>
      <c r="D130" s="1">
        <v>100000</v>
      </c>
      <c r="E130" s="2">
        <v>0.67</v>
      </c>
    </row>
    <row r="131" spans="1:5" x14ac:dyDescent="0.35">
      <c r="A131" t="s">
        <v>385</v>
      </c>
      <c r="B131" t="s">
        <v>386</v>
      </c>
      <c r="C131" s="1">
        <v>85000</v>
      </c>
      <c r="D131" s="1">
        <v>100000</v>
      </c>
      <c r="E131" s="2">
        <v>0.67</v>
      </c>
    </row>
    <row r="132" spans="1:5" x14ac:dyDescent="0.35">
      <c r="A132" t="s">
        <v>387</v>
      </c>
      <c r="B132" t="s">
        <v>388</v>
      </c>
      <c r="C132" s="1">
        <v>85000</v>
      </c>
      <c r="D132" s="1">
        <v>100000</v>
      </c>
      <c r="E132" s="2">
        <v>0.67</v>
      </c>
    </row>
    <row r="133" spans="1:5" x14ac:dyDescent="0.35">
      <c r="A133" t="s">
        <v>389</v>
      </c>
      <c r="B133" t="s">
        <v>390</v>
      </c>
      <c r="C133" s="1">
        <v>85000</v>
      </c>
      <c r="D133" s="1">
        <v>100000</v>
      </c>
      <c r="E133" s="2">
        <v>0.67</v>
      </c>
    </row>
    <row r="134" spans="1:5" x14ac:dyDescent="0.35">
      <c r="A134" t="s">
        <v>391</v>
      </c>
      <c r="B134" t="s">
        <v>392</v>
      </c>
      <c r="C134" s="1">
        <v>85000</v>
      </c>
      <c r="D134" s="1">
        <v>100000</v>
      </c>
      <c r="E134" s="2">
        <v>0.67</v>
      </c>
    </row>
    <row r="135" spans="1:5" x14ac:dyDescent="0.35">
      <c r="A135" t="s">
        <v>393</v>
      </c>
      <c r="B135" t="s">
        <v>394</v>
      </c>
      <c r="C135" s="1">
        <v>85000</v>
      </c>
      <c r="D135" s="1">
        <v>100000</v>
      </c>
      <c r="E135" s="2">
        <v>0.67</v>
      </c>
    </row>
    <row r="136" spans="1:5" x14ac:dyDescent="0.35">
      <c r="A136" t="s">
        <v>395</v>
      </c>
      <c r="B136" t="s">
        <v>396</v>
      </c>
      <c r="C136" s="1">
        <v>85000</v>
      </c>
      <c r="D136" s="1">
        <v>100000</v>
      </c>
      <c r="E136" s="2">
        <v>0.67</v>
      </c>
    </row>
    <row r="137" spans="1:5" x14ac:dyDescent="0.35">
      <c r="A137" t="s">
        <v>397</v>
      </c>
      <c r="B137" t="s">
        <v>398</v>
      </c>
      <c r="C137" s="1">
        <v>85000</v>
      </c>
      <c r="D137" s="1">
        <v>100000</v>
      </c>
      <c r="E137" s="2">
        <v>0.67</v>
      </c>
    </row>
    <row r="138" spans="1:5" x14ac:dyDescent="0.35">
      <c r="A138" t="s">
        <v>399</v>
      </c>
      <c r="B138" t="s">
        <v>400</v>
      </c>
      <c r="C138" s="1">
        <v>85000</v>
      </c>
      <c r="D138" s="1">
        <v>100000</v>
      </c>
      <c r="E138" s="2">
        <v>0.67</v>
      </c>
    </row>
    <row r="139" spans="1:5" x14ac:dyDescent="0.35">
      <c r="A139" t="s">
        <v>401</v>
      </c>
      <c r="B139" t="s">
        <v>402</v>
      </c>
      <c r="C139" s="1">
        <v>85000</v>
      </c>
      <c r="D139" s="1">
        <v>100000</v>
      </c>
      <c r="E139" s="2">
        <v>0.67</v>
      </c>
    </row>
    <row r="140" spans="1:5" x14ac:dyDescent="0.35">
      <c r="A140" t="s">
        <v>403</v>
      </c>
      <c r="B140" t="s">
        <v>404</v>
      </c>
      <c r="C140" s="1">
        <v>85000</v>
      </c>
      <c r="D140" s="1">
        <v>100000</v>
      </c>
      <c r="E140" s="2">
        <v>0.67</v>
      </c>
    </row>
    <row r="141" spans="1:5" x14ac:dyDescent="0.35">
      <c r="A141" t="s">
        <v>405</v>
      </c>
      <c r="B141" t="s">
        <v>406</v>
      </c>
      <c r="C141" s="1">
        <v>85000</v>
      </c>
      <c r="D141" s="1">
        <v>100000</v>
      </c>
      <c r="E141" s="2">
        <v>0.67</v>
      </c>
    </row>
    <row r="142" spans="1:5" x14ac:dyDescent="0.35">
      <c r="A142" t="s">
        <v>407</v>
      </c>
      <c r="B142" t="s">
        <v>408</v>
      </c>
      <c r="C142" s="1">
        <v>85000</v>
      </c>
      <c r="D142" s="1">
        <v>100000</v>
      </c>
      <c r="E142" s="2">
        <v>0.67</v>
      </c>
    </row>
    <row r="143" spans="1:5" x14ac:dyDescent="0.35">
      <c r="A143" t="s">
        <v>409</v>
      </c>
      <c r="B143" t="s">
        <v>410</v>
      </c>
      <c r="C143" s="1">
        <v>85000</v>
      </c>
      <c r="D143" s="1">
        <v>100000</v>
      </c>
      <c r="E143" s="2">
        <v>0.67</v>
      </c>
    </row>
    <row r="144" spans="1:5" x14ac:dyDescent="0.35">
      <c r="A144" t="s">
        <v>411</v>
      </c>
      <c r="B144" t="s">
        <v>412</v>
      </c>
      <c r="C144" s="1">
        <v>85000</v>
      </c>
      <c r="D144" s="1">
        <v>100000</v>
      </c>
      <c r="E144" s="2">
        <v>0.67</v>
      </c>
    </row>
    <row r="145" spans="1:5" x14ac:dyDescent="0.35">
      <c r="A145" t="s">
        <v>413</v>
      </c>
      <c r="B145" t="s">
        <v>414</v>
      </c>
      <c r="C145" s="1">
        <v>85000</v>
      </c>
      <c r="D145" s="1">
        <v>100000</v>
      </c>
      <c r="E145" s="2">
        <v>0.67</v>
      </c>
    </row>
    <row r="146" spans="1:5" x14ac:dyDescent="0.35">
      <c r="A146" t="s">
        <v>415</v>
      </c>
      <c r="B146" t="s">
        <v>416</v>
      </c>
      <c r="C146" s="1">
        <v>85000</v>
      </c>
      <c r="D146" s="1">
        <v>100000</v>
      </c>
      <c r="E146" s="2">
        <v>0.67</v>
      </c>
    </row>
    <row r="147" spans="1:5" x14ac:dyDescent="0.35">
      <c r="A147" t="s">
        <v>417</v>
      </c>
      <c r="B147" t="s">
        <v>418</v>
      </c>
      <c r="C147" s="1">
        <v>85000</v>
      </c>
      <c r="D147" s="1">
        <v>100000</v>
      </c>
      <c r="E147" s="2">
        <v>0.67</v>
      </c>
    </row>
    <row r="148" spans="1:5" x14ac:dyDescent="0.35">
      <c r="A148" t="s">
        <v>419</v>
      </c>
      <c r="B148" t="s">
        <v>420</v>
      </c>
      <c r="C148" s="1">
        <v>85000</v>
      </c>
      <c r="D148" s="1">
        <v>100000</v>
      </c>
      <c r="E148" s="2">
        <v>0.67</v>
      </c>
    </row>
    <row r="149" spans="1:5" x14ac:dyDescent="0.35">
      <c r="A149" t="s">
        <v>421</v>
      </c>
      <c r="B149" t="s">
        <v>422</v>
      </c>
      <c r="C149" s="1">
        <v>85000</v>
      </c>
      <c r="D149" s="1">
        <v>100000</v>
      </c>
      <c r="E149" s="2">
        <v>0.67</v>
      </c>
    </row>
    <row r="150" spans="1:5" x14ac:dyDescent="0.35">
      <c r="A150" t="s">
        <v>423</v>
      </c>
      <c r="B150" t="s">
        <v>424</v>
      </c>
      <c r="C150" s="1">
        <v>85000</v>
      </c>
      <c r="D150" s="1">
        <v>100000</v>
      </c>
      <c r="E150" s="2">
        <v>0.67</v>
      </c>
    </row>
    <row r="151" spans="1:5" x14ac:dyDescent="0.35">
      <c r="A151" t="s">
        <v>425</v>
      </c>
      <c r="B151" t="s">
        <v>426</v>
      </c>
      <c r="C151" s="1">
        <v>85000</v>
      </c>
      <c r="D151" s="1">
        <v>100000</v>
      </c>
      <c r="E151" s="2">
        <v>0.67</v>
      </c>
    </row>
    <row r="152" spans="1:5" x14ac:dyDescent="0.35">
      <c r="A152" t="s">
        <v>427</v>
      </c>
      <c r="B152" t="s">
        <v>428</v>
      </c>
      <c r="C152" s="1">
        <v>85000</v>
      </c>
      <c r="D152" s="1">
        <v>100000</v>
      </c>
      <c r="E152" s="2">
        <v>0.67</v>
      </c>
    </row>
    <row r="153" spans="1:5" x14ac:dyDescent="0.35">
      <c r="A153" t="s">
        <v>429</v>
      </c>
      <c r="B153" t="s">
        <v>430</v>
      </c>
      <c r="C153" s="1">
        <v>85000</v>
      </c>
      <c r="D153" s="1">
        <v>100000</v>
      </c>
      <c r="E153" s="2">
        <v>0.67</v>
      </c>
    </row>
    <row r="154" spans="1:5" x14ac:dyDescent="0.35">
      <c r="A154" t="s">
        <v>431</v>
      </c>
      <c r="B154" t="s">
        <v>432</v>
      </c>
      <c r="C154" s="1">
        <v>85000</v>
      </c>
      <c r="D154" s="1">
        <v>100000</v>
      </c>
      <c r="E154" s="2">
        <v>0.67</v>
      </c>
    </row>
    <row r="155" spans="1:5" x14ac:dyDescent="0.35">
      <c r="A155" t="s">
        <v>433</v>
      </c>
      <c r="B155" t="s">
        <v>434</v>
      </c>
      <c r="C155" s="1">
        <v>85000</v>
      </c>
      <c r="D155" s="1">
        <v>100000</v>
      </c>
      <c r="E155" s="2">
        <v>0.67</v>
      </c>
    </row>
    <row r="156" spans="1:5" x14ac:dyDescent="0.35">
      <c r="A156" t="s">
        <v>435</v>
      </c>
      <c r="B156" t="s">
        <v>436</v>
      </c>
      <c r="C156" s="1">
        <v>85000</v>
      </c>
      <c r="D156" s="1">
        <v>100000</v>
      </c>
      <c r="E156" s="2">
        <v>0.67</v>
      </c>
    </row>
    <row r="157" spans="1:5" x14ac:dyDescent="0.35">
      <c r="A157" t="s">
        <v>437</v>
      </c>
      <c r="B157" t="s">
        <v>438</v>
      </c>
      <c r="C157" s="1">
        <v>85000</v>
      </c>
      <c r="D157" s="1">
        <v>100000</v>
      </c>
      <c r="E157" s="2">
        <v>0.67</v>
      </c>
    </row>
    <row r="158" spans="1:5" x14ac:dyDescent="0.35">
      <c r="A158" t="s">
        <v>439</v>
      </c>
      <c r="B158" t="s">
        <v>440</v>
      </c>
      <c r="C158" s="1">
        <v>85000</v>
      </c>
      <c r="D158" s="1">
        <v>100000</v>
      </c>
      <c r="E158" s="2">
        <v>0.67</v>
      </c>
    </row>
    <row r="159" spans="1:5" x14ac:dyDescent="0.35">
      <c r="A159" t="s">
        <v>441</v>
      </c>
      <c r="B159" t="s">
        <v>442</v>
      </c>
      <c r="C159" s="1">
        <v>85000</v>
      </c>
      <c r="D159" s="1">
        <v>100000</v>
      </c>
      <c r="E159" s="2">
        <v>0.67</v>
      </c>
    </row>
    <row r="160" spans="1:5" x14ac:dyDescent="0.35">
      <c r="A160" t="s">
        <v>443</v>
      </c>
      <c r="B160" t="s">
        <v>444</v>
      </c>
      <c r="C160" s="1">
        <v>85000</v>
      </c>
      <c r="D160" s="1">
        <v>100000</v>
      </c>
      <c r="E160" s="2">
        <v>0.67</v>
      </c>
    </row>
    <row r="161" spans="1:5" x14ac:dyDescent="0.35">
      <c r="A161" t="s">
        <v>445</v>
      </c>
      <c r="B161" t="s">
        <v>446</v>
      </c>
      <c r="C161" s="1">
        <v>85000</v>
      </c>
      <c r="D161" s="1">
        <v>100000</v>
      </c>
      <c r="E161" s="2">
        <v>0.67</v>
      </c>
    </row>
    <row r="162" spans="1:5" x14ac:dyDescent="0.35">
      <c r="A162" t="s">
        <v>447</v>
      </c>
      <c r="B162" t="s">
        <v>448</v>
      </c>
      <c r="C162" s="1">
        <v>85000</v>
      </c>
      <c r="D162" s="1">
        <v>100000</v>
      </c>
      <c r="E162" s="2">
        <v>0.67</v>
      </c>
    </row>
    <row r="163" spans="1:5" x14ac:dyDescent="0.35">
      <c r="A163" t="s">
        <v>449</v>
      </c>
      <c r="B163" t="s">
        <v>450</v>
      </c>
      <c r="C163" s="1">
        <v>85000</v>
      </c>
      <c r="D163" s="1">
        <v>100000</v>
      </c>
      <c r="E163" s="2">
        <v>0.67</v>
      </c>
    </row>
    <row r="164" spans="1:5" x14ac:dyDescent="0.35">
      <c r="A164" t="s">
        <v>451</v>
      </c>
      <c r="B164" t="s">
        <v>452</v>
      </c>
      <c r="C164" s="1">
        <v>85000</v>
      </c>
      <c r="D164" s="1">
        <v>100000</v>
      </c>
      <c r="E164" s="2">
        <v>0.67</v>
      </c>
    </row>
    <row r="165" spans="1:5" x14ac:dyDescent="0.35">
      <c r="A165" t="s">
        <v>453</v>
      </c>
      <c r="B165" t="s">
        <v>454</v>
      </c>
      <c r="C165" s="1">
        <v>85000</v>
      </c>
      <c r="D165" s="1">
        <v>100000</v>
      </c>
      <c r="E165" s="2">
        <v>0.67</v>
      </c>
    </row>
    <row r="166" spans="1:5" x14ac:dyDescent="0.35">
      <c r="A166" t="s">
        <v>455</v>
      </c>
      <c r="B166" t="s">
        <v>456</v>
      </c>
      <c r="C166" s="1">
        <v>85000</v>
      </c>
      <c r="D166" s="1">
        <v>100000</v>
      </c>
      <c r="E166" s="2">
        <v>0.67</v>
      </c>
    </row>
    <row r="167" spans="1:5" x14ac:dyDescent="0.35">
      <c r="A167" t="s">
        <v>457</v>
      </c>
      <c r="B167" t="s">
        <v>458</v>
      </c>
      <c r="C167" s="1">
        <v>85000</v>
      </c>
      <c r="D167" s="1">
        <v>100000</v>
      </c>
      <c r="E167" s="2">
        <v>0.67</v>
      </c>
    </row>
    <row r="168" spans="1:5" x14ac:dyDescent="0.35">
      <c r="A168" t="s">
        <v>459</v>
      </c>
      <c r="B168" t="s">
        <v>460</v>
      </c>
      <c r="C168" s="1">
        <v>85000</v>
      </c>
      <c r="D168" s="1">
        <v>100000</v>
      </c>
      <c r="E168" s="2">
        <v>0.67</v>
      </c>
    </row>
    <row r="169" spans="1:5" x14ac:dyDescent="0.35">
      <c r="A169" t="s">
        <v>461</v>
      </c>
      <c r="B169" t="s">
        <v>462</v>
      </c>
      <c r="C169" s="1">
        <v>85000</v>
      </c>
      <c r="D169" s="1">
        <v>100000</v>
      </c>
      <c r="E169" s="2">
        <v>0.67</v>
      </c>
    </row>
    <row r="170" spans="1:5" x14ac:dyDescent="0.35">
      <c r="A170" t="s">
        <v>463</v>
      </c>
      <c r="B170" t="s">
        <v>464</v>
      </c>
      <c r="C170" s="1">
        <v>85000</v>
      </c>
      <c r="D170" s="1">
        <v>100000</v>
      </c>
      <c r="E170" s="2">
        <v>0.67</v>
      </c>
    </row>
    <row r="171" spans="1:5" x14ac:dyDescent="0.35">
      <c r="A171" t="s">
        <v>465</v>
      </c>
      <c r="B171" t="s">
        <v>466</v>
      </c>
      <c r="C171" s="1">
        <v>85000</v>
      </c>
      <c r="D171" s="1">
        <v>100000</v>
      </c>
      <c r="E171" s="2">
        <v>0.67</v>
      </c>
    </row>
    <row r="172" spans="1:5" x14ac:dyDescent="0.35">
      <c r="A172" t="s">
        <v>467</v>
      </c>
      <c r="B172" t="s">
        <v>468</v>
      </c>
      <c r="C172" s="1">
        <v>85000</v>
      </c>
      <c r="D172" s="1">
        <v>100000</v>
      </c>
      <c r="E172" s="2">
        <v>0.67</v>
      </c>
    </row>
    <row r="173" spans="1:5" x14ac:dyDescent="0.35">
      <c r="A173" t="s">
        <v>469</v>
      </c>
      <c r="B173" t="s">
        <v>470</v>
      </c>
      <c r="C173" s="1">
        <v>85000</v>
      </c>
      <c r="D173" s="1">
        <v>100000</v>
      </c>
      <c r="E173" s="2">
        <v>0.67</v>
      </c>
    </row>
    <row r="174" spans="1:5" x14ac:dyDescent="0.35">
      <c r="A174" t="s">
        <v>471</v>
      </c>
      <c r="B174" t="s">
        <v>472</v>
      </c>
      <c r="C174" s="1">
        <v>85000</v>
      </c>
      <c r="D174" s="1">
        <v>100000</v>
      </c>
      <c r="E174" s="2">
        <v>0.67</v>
      </c>
    </row>
    <row r="175" spans="1:5" x14ac:dyDescent="0.35">
      <c r="A175" t="s">
        <v>473</v>
      </c>
      <c r="B175" t="s">
        <v>474</v>
      </c>
      <c r="C175" s="1">
        <v>85000</v>
      </c>
      <c r="D175" s="1">
        <v>100000</v>
      </c>
      <c r="E175" s="2">
        <v>0.67</v>
      </c>
    </row>
    <row r="176" spans="1:5" x14ac:dyDescent="0.35">
      <c r="A176" t="s">
        <v>475</v>
      </c>
      <c r="B176" t="s">
        <v>476</v>
      </c>
      <c r="C176" s="1">
        <v>85000</v>
      </c>
      <c r="D176" s="1">
        <v>100000</v>
      </c>
      <c r="E176" s="2">
        <v>0.67</v>
      </c>
    </row>
    <row r="177" spans="1:5" x14ac:dyDescent="0.35">
      <c r="A177" t="s">
        <v>477</v>
      </c>
      <c r="B177" t="s">
        <v>478</v>
      </c>
      <c r="C177" s="1">
        <v>85000</v>
      </c>
      <c r="D177" s="1">
        <v>100000</v>
      </c>
      <c r="E177" s="2">
        <v>0.67</v>
      </c>
    </row>
    <row r="178" spans="1:5" x14ac:dyDescent="0.35">
      <c r="A178" t="s">
        <v>479</v>
      </c>
      <c r="B178" t="s">
        <v>480</v>
      </c>
      <c r="C178" s="1">
        <v>85000</v>
      </c>
      <c r="D178" s="1">
        <v>100000</v>
      </c>
      <c r="E178" s="2">
        <v>0.67</v>
      </c>
    </row>
    <row r="179" spans="1:5" x14ac:dyDescent="0.35">
      <c r="A179" t="s">
        <v>481</v>
      </c>
      <c r="B179" t="s">
        <v>482</v>
      </c>
      <c r="C179" s="1">
        <v>85000</v>
      </c>
      <c r="D179" s="1">
        <v>100000</v>
      </c>
      <c r="E179" s="2">
        <v>0.67</v>
      </c>
    </row>
    <row r="180" spans="1:5" x14ac:dyDescent="0.35">
      <c r="A180" t="s">
        <v>483</v>
      </c>
      <c r="B180" t="s">
        <v>484</v>
      </c>
      <c r="C180" s="1">
        <v>85000</v>
      </c>
      <c r="D180" s="1">
        <v>100000</v>
      </c>
      <c r="E180" s="2">
        <v>0.67</v>
      </c>
    </row>
    <row r="181" spans="1:5" x14ac:dyDescent="0.35">
      <c r="A181" t="s">
        <v>485</v>
      </c>
      <c r="B181" t="s">
        <v>486</v>
      </c>
      <c r="C181" s="1">
        <v>85000</v>
      </c>
      <c r="D181" s="1">
        <v>100000</v>
      </c>
      <c r="E181" s="2">
        <v>0.67</v>
      </c>
    </row>
    <row r="182" spans="1:5" x14ac:dyDescent="0.35">
      <c r="A182" t="s">
        <v>487</v>
      </c>
      <c r="B182" t="s">
        <v>488</v>
      </c>
      <c r="C182" s="1">
        <v>85000</v>
      </c>
      <c r="D182" s="1">
        <v>100000</v>
      </c>
      <c r="E182" s="2">
        <v>0.67</v>
      </c>
    </row>
    <row r="183" spans="1:5" x14ac:dyDescent="0.35">
      <c r="A183" t="s">
        <v>489</v>
      </c>
      <c r="B183" t="s">
        <v>490</v>
      </c>
      <c r="C183" s="1">
        <v>85000</v>
      </c>
      <c r="D183" s="1">
        <v>100000</v>
      </c>
      <c r="E183" s="2">
        <v>0.67</v>
      </c>
    </row>
    <row r="184" spans="1:5" x14ac:dyDescent="0.35">
      <c r="A184" t="s">
        <v>491</v>
      </c>
      <c r="B184" t="s">
        <v>492</v>
      </c>
      <c r="C184" s="1">
        <v>85000</v>
      </c>
      <c r="D184" s="1">
        <v>100000</v>
      </c>
      <c r="E184" s="2">
        <v>0.67</v>
      </c>
    </row>
    <row r="185" spans="1:5" x14ac:dyDescent="0.35">
      <c r="A185" t="s">
        <v>493</v>
      </c>
      <c r="B185" t="s">
        <v>494</v>
      </c>
      <c r="C185" s="1">
        <v>85000</v>
      </c>
      <c r="D185" s="1">
        <v>100000</v>
      </c>
      <c r="E185" s="2">
        <v>0.67</v>
      </c>
    </row>
    <row r="186" spans="1:5" x14ac:dyDescent="0.35">
      <c r="A186" t="s">
        <v>495</v>
      </c>
      <c r="B186" t="s">
        <v>496</v>
      </c>
      <c r="C186" s="1">
        <v>85000</v>
      </c>
      <c r="D186" s="1">
        <v>100000</v>
      </c>
      <c r="E186" s="2">
        <v>0.67</v>
      </c>
    </row>
    <row r="187" spans="1:5" x14ac:dyDescent="0.35">
      <c r="A187" t="s">
        <v>497</v>
      </c>
      <c r="B187" t="s">
        <v>498</v>
      </c>
      <c r="C187" s="1">
        <v>85000</v>
      </c>
      <c r="D187" s="1">
        <v>100000</v>
      </c>
      <c r="E187" s="2">
        <v>0.67</v>
      </c>
    </row>
    <row r="188" spans="1:5" x14ac:dyDescent="0.35">
      <c r="A188" t="s">
        <v>499</v>
      </c>
      <c r="B188" t="s">
        <v>500</v>
      </c>
      <c r="C188" s="1">
        <v>85000</v>
      </c>
      <c r="D188" s="1">
        <v>100000</v>
      </c>
      <c r="E188" s="2">
        <v>0.67</v>
      </c>
    </row>
    <row r="189" spans="1:5" x14ac:dyDescent="0.35">
      <c r="A189" t="s">
        <v>501</v>
      </c>
      <c r="B189" t="s">
        <v>502</v>
      </c>
      <c r="C189" s="1">
        <v>85000</v>
      </c>
      <c r="D189" s="1">
        <v>100000</v>
      </c>
      <c r="E189" s="2">
        <v>0.67</v>
      </c>
    </row>
    <row r="190" spans="1:5" x14ac:dyDescent="0.35">
      <c r="A190" t="s">
        <v>503</v>
      </c>
      <c r="B190" t="s">
        <v>504</v>
      </c>
      <c r="C190" s="1">
        <v>85000</v>
      </c>
      <c r="D190" s="1">
        <v>100000</v>
      </c>
      <c r="E190" s="2">
        <v>0.67</v>
      </c>
    </row>
    <row r="191" spans="1:5" x14ac:dyDescent="0.35">
      <c r="A191" t="s">
        <v>505</v>
      </c>
      <c r="B191" t="s">
        <v>506</v>
      </c>
      <c r="C191" s="1">
        <v>85000</v>
      </c>
      <c r="D191" s="1">
        <v>100000</v>
      </c>
      <c r="E191" s="2">
        <v>0.67</v>
      </c>
    </row>
    <row r="192" spans="1:5" x14ac:dyDescent="0.35">
      <c r="A192" t="s">
        <v>507</v>
      </c>
      <c r="B192" t="s">
        <v>508</v>
      </c>
      <c r="C192" s="1">
        <v>85000</v>
      </c>
      <c r="D192" s="1">
        <v>100000</v>
      </c>
      <c r="E192" s="2">
        <v>0.67</v>
      </c>
    </row>
    <row r="193" spans="1:5" x14ac:dyDescent="0.35">
      <c r="A193" t="s">
        <v>509</v>
      </c>
      <c r="B193" t="s">
        <v>510</v>
      </c>
      <c r="C193" s="1">
        <v>85000</v>
      </c>
      <c r="D193" s="1">
        <v>100000</v>
      </c>
      <c r="E193" s="2">
        <v>0.67</v>
      </c>
    </row>
    <row r="194" spans="1:5" x14ac:dyDescent="0.35">
      <c r="A194" t="s">
        <v>511</v>
      </c>
      <c r="B194" t="s">
        <v>512</v>
      </c>
      <c r="C194" s="1">
        <v>85000</v>
      </c>
      <c r="D194" s="1">
        <v>100000</v>
      </c>
      <c r="E194" s="2">
        <v>0.67</v>
      </c>
    </row>
    <row r="195" spans="1:5" x14ac:dyDescent="0.35">
      <c r="A195" t="s">
        <v>513</v>
      </c>
      <c r="B195" t="s">
        <v>514</v>
      </c>
      <c r="C195" s="1">
        <v>85000</v>
      </c>
      <c r="D195" s="1">
        <v>100000</v>
      </c>
      <c r="E195" s="2">
        <v>0.67</v>
      </c>
    </row>
    <row r="196" spans="1:5" x14ac:dyDescent="0.35">
      <c r="A196" t="s">
        <v>515</v>
      </c>
      <c r="B196" t="s">
        <v>516</v>
      </c>
      <c r="C196" s="1">
        <v>85000</v>
      </c>
      <c r="D196" s="1">
        <v>100000</v>
      </c>
      <c r="E196" s="2">
        <v>0.67</v>
      </c>
    </row>
    <row r="197" spans="1:5" x14ac:dyDescent="0.35">
      <c r="A197" t="s">
        <v>517</v>
      </c>
      <c r="B197" t="s">
        <v>518</v>
      </c>
      <c r="C197" s="1">
        <v>85000</v>
      </c>
      <c r="D197" s="1">
        <v>100000</v>
      </c>
      <c r="E197" s="2">
        <v>0.67</v>
      </c>
    </row>
    <row r="198" spans="1:5" x14ac:dyDescent="0.35">
      <c r="A198" t="s">
        <v>519</v>
      </c>
      <c r="B198" t="s">
        <v>520</v>
      </c>
      <c r="C198" s="1">
        <v>85000</v>
      </c>
      <c r="D198" s="1">
        <v>100000</v>
      </c>
      <c r="E198" s="2">
        <v>0.67</v>
      </c>
    </row>
    <row r="199" spans="1:5" x14ac:dyDescent="0.35">
      <c r="A199" t="s">
        <v>521</v>
      </c>
      <c r="B199" t="s">
        <v>522</v>
      </c>
      <c r="C199" s="1">
        <v>85000</v>
      </c>
      <c r="D199" s="1">
        <v>100000</v>
      </c>
      <c r="E199" s="2">
        <v>0.67</v>
      </c>
    </row>
    <row r="200" spans="1:5" x14ac:dyDescent="0.35">
      <c r="A200" t="s">
        <v>523</v>
      </c>
      <c r="B200" t="s">
        <v>524</v>
      </c>
      <c r="C200" s="1">
        <v>85000</v>
      </c>
      <c r="D200" s="1">
        <v>100000</v>
      </c>
      <c r="E200" s="2">
        <v>0.67</v>
      </c>
    </row>
    <row r="201" spans="1:5" x14ac:dyDescent="0.35">
      <c r="A201" t="s">
        <v>525</v>
      </c>
      <c r="B201" t="s">
        <v>526</v>
      </c>
      <c r="C201" s="1">
        <v>85000</v>
      </c>
      <c r="D201" s="1">
        <v>100000</v>
      </c>
      <c r="E201" s="2">
        <v>0.67</v>
      </c>
    </row>
    <row r="202" spans="1:5" x14ac:dyDescent="0.35">
      <c r="A202" t="s">
        <v>527</v>
      </c>
      <c r="B202" t="s">
        <v>528</v>
      </c>
      <c r="C202" s="1">
        <v>85000</v>
      </c>
      <c r="D202" s="1">
        <v>100000</v>
      </c>
      <c r="E202" s="2">
        <v>0.67</v>
      </c>
    </row>
    <row r="203" spans="1:5" x14ac:dyDescent="0.35">
      <c r="A203" t="s">
        <v>529</v>
      </c>
      <c r="B203" t="s">
        <v>530</v>
      </c>
      <c r="C203" s="1">
        <v>85000</v>
      </c>
      <c r="D203" s="1">
        <v>100000</v>
      </c>
      <c r="E203" s="2">
        <v>0.67</v>
      </c>
    </row>
    <row r="204" spans="1:5" x14ac:dyDescent="0.35">
      <c r="A204" t="s">
        <v>531</v>
      </c>
      <c r="B204" t="s">
        <v>532</v>
      </c>
      <c r="C204" s="1">
        <v>85000</v>
      </c>
      <c r="D204" s="1">
        <v>100000</v>
      </c>
      <c r="E204" s="2">
        <v>0.67</v>
      </c>
    </row>
    <row r="205" spans="1:5" x14ac:dyDescent="0.35">
      <c r="A205" t="s">
        <v>533</v>
      </c>
      <c r="B205" t="s">
        <v>534</v>
      </c>
      <c r="C205" s="1">
        <v>85000</v>
      </c>
      <c r="D205" s="1">
        <v>100000</v>
      </c>
      <c r="E205" s="2">
        <v>0.67</v>
      </c>
    </row>
    <row r="206" spans="1:5" x14ac:dyDescent="0.35">
      <c r="A206" t="s">
        <v>535</v>
      </c>
      <c r="B206" t="s">
        <v>536</v>
      </c>
      <c r="C206" s="1">
        <v>85000</v>
      </c>
      <c r="D206" s="1">
        <v>100000</v>
      </c>
      <c r="E206" s="2">
        <v>0.67</v>
      </c>
    </row>
    <row r="207" spans="1:5" x14ac:dyDescent="0.35">
      <c r="A207" t="s">
        <v>537</v>
      </c>
      <c r="B207" t="s">
        <v>538</v>
      </c>
      <c r="C207" s="1">
        <v>85000</v>
      </c>
      <c r="D207" s="1">
        <v>100000</v>
      </c>
      <c r="E207" s="2">
        <v>0.67</v>
      </c>
    </row>
    <row r="208" spans="1:5" x14ac:dyDescent="0.35">
      <c r="A208" t="s">
        <v>539</v>
      </c>
      <c r="B208" t="s">
        <v>540</v>
      </c>
      <c r="C208" s="1">
        <v>85000</v>
      </c>
      <c r="D208" s="1">
        <v>100000</v>
      </c>
      <c r="E208" s="2">
        <v>0.67</v>
      </c>
    </row>
    <row r="209" spans="1:5" x14ac:dyDescent="0.35">
      <c r="A209" t="s">
        <v>541</v>
      </c>
      <c r="B209" t="s">
        <v>542</v>
      </c>
      <c r="C209" s="1">
        <v>85000</v>
      </c>
      <c r="D209" s="1">
        <v>100000</v>
      </c>
      <c r="E209" s="2">
        <v>0.67</v>
      </c>
    </row>
    <row r="210" spans="1:5" x14ac:dyDescent="0.35">
      <c r="A210" t="s">
        <v>543</v>
      </c>
      <c r="B210" t="s">
        <v>544</v>
      </c>
      <c r="C210" s="1">
        <v>85000</v>
      </c>
      <c r="D210" s="1">
        <v>100000</v>
      </c>
      <c r="E210" s="2">
        <v>0.67</v>
      </c>
    </row>
    <row r="211" spans="1:5" x14ac:dyDescent="0.35">
      <c r="A211" t="s">
        <v>545</v>
      </c>
      <c r="B211" t="s">
        <v>546</v>
      </c>
      <c r="C211" s="1">
        <v>85000</v>
      </c>
      <c r="D211" s="1">
        <v>100000</v>
      </c>
      <c r="E211" s="2">
        <v>0.67</v>
      </c>
    </row>
    <row r="212" spans="1:5" x14ac:dyDescent="0.35">
      <c r="A212" t="s">
        <v>547</v>
      </c>
      <c r="B212" t="s">
        <v>548</v>
      </c>
      <c r="C212" s="1">
        <v>85000</v>
      </c>
      <c r="D212" s="1">
        <v>100000</v>
      </c>
      <c r="E212" s="2">
        <v>0.67</v>
      </c>
    </row>
    <row r="213" spans="1:5" x14ac:dyDescent="0.35">
      <c r="A213" t="s">
        <v>549</v>
      </c>
      <c r="B213" t="s">
        <v>550</v>
      </c>
      <c r="C213" s="1">
        <v>85000</v>
      </c>
      <c r="D213" s="1">
        <v>100000</v>
      </c>
      <c r="E213" s="2">
        <v>0.67</v>
      </c>
    </row>
    <row r="214" spans="1:5" x14ac:dyDescent="0.35">
      <c r="A214" t="s">
        <v>551</v>
      </c>
      <c r="B214" t="s">
        <v>552</v>
      </c>
      <c r="C214" s="1">
        <v>85000</v>
      </c>
      <c r="D214" s="1">
        <v>100000</v>
      </c>
      <c r="E214" s="2">
        <v>0.67</v>
      </c>
    </row>
    <row r="215" spans="1:5" x14ac:dyDescent="0.35">
      <c r="A215" t="s">
        <v>553</v>
      </c>
      <c r="B215" t="s">
        <v>554</v>
      </c>
      <c r="C215" s="1">
        <v>85000</v>
      </c>
      <c r="D215" s="1">
        <v>100000</v>
      </c>
      <c r="E215" s="2">
        <v>0.67</v>
      </c>
    </row>
    <row r="216" spans="1:5" x14ac:dyDescent="0.35">
      <c r="A216" t="s">
        <v>555</v>
      </c>
      <c r="B216" t="s">
        <v>556</v>
      </c>
      <c r="C216" s="1">
        <v>85000</v>
      </c>
      <c r="D216" s="1">
        <v>100000</v>
      </c>
      <c r="E216" s="2">
        <v>0.67</v>
      </c>
    </row>
    <row r="217" spans="1:5" x14ac:dyDescent="0.35">
      <c r="A217" t="s">
        <v>557</v>
      </c>
      <c r="B217" t="s">
        <v>558</v>
      </c>
      <c r="C217" s="1">
        <v>85000</v>
      </c>
      <c r="D217" s="1">
        <v>100000</v>
      </c>
      <c r="E217" s="2">
        <v>0.67</v>
      </c>
    </row>
    <row r="218" spans="1:5" x14ac:dyDescent="0.35">
      <c r="A218" t="s">
        <v>559</v>
      </c>
      <c r="B218" t="s">
        <v>560</v>
      </c>
      <c r="C218" s="1">
        <v>85000</v>
      </c>
      <c r="D218" s="1">
        <v>100000</v>
      </c>
      <c r="E218" s="2">
        <v>0.67</v>
      </c>
    </row>
    <row r="219" spans="1:5" x14ac:dyDescent="0.35">
      <c r="A219" t="s">
        <v>561</v>
      </c>
      <c r="B219" t="s">
        <v>562</v>
      </c>
      <c r="C219" s="1">
        <v>85000</v>
      </c>
      <c r="D219" s="1">
        <v>100000</v>
      </c>
      <c r="E219" s="2">
        <v>0.67</v>
      </c>
    </row>
    <row r="220" spans="1:5" x14ac:dyDescent="0.35">
      <c r="A220" t="s">
        <v>563</v>
      </c>
      <c r="B220" t="s">
        <v>564</v>
      </c>
      <c r="C220" s="1">
        <v>85000</v>
      </c>
      <c r="D220" s="1">
        <v>100000</v>
      </c>
      <c r="E220" s="2">
        <v>0.67</v>
      </c>
    </row>
    <row r="221" spans="1:5" x14ac:dyDescent="0.35">
      <c r="A221" t="s">
        <v>565</v>
      </c>
      <c r="B221" t="s">
        <v>566</v>
      </c>
      <c r="C221" s="1">
        <v>85000</v>
      </c>
      <c r="D221" s="1">
        <v>100000</v>
      </c>
      <c r="E221" s="2">
        <v>0.67</v>
      </c>
    </row>
    <row r="222" spans="1:5" x14ac:dyDescent="0.35">
      <c r="A222" t="s">
        <v>567</v>
      </c>
      <c r="B222" t="s">
        <v>568</v>
      </c>
      <c r="C222" s="1">
        <v>85000</v>
      </c>
      <c r="D222" s="1">
        <v>100000</v>
      </c>
      <c r="E222" s="2">
        <v>0.67</v>
      </c>
    </row>
    <row r="223" spans="1:5" x14ac:dyDescent="0.35">
      <c r="A223" t="s">
        <v>569</v>
      </c>
      <c r="B223" t="s">
        <v>570</v>
      </c>
      <c r="C223" s="1">
        <v>85000</v>
      </c>
      <c r="D223" s="1">
        <v>100000</v>
      </c>
      <c r="E223" s="2">
        <v>0.67</v>
      </c>
    </row>
    <row r="224" spans="1:5" x14ac:dyDescent="0.35">
      <c r="A224" t="s">
        <v>571</v>
      </c>
      <c r="B224" t="s">
        <v>572</v>
      </c>
      <c r="C224" s="1">
        <v>85000</v>
      </c>
      <c r="D224" s="1">
        <v>100000</v>
      </c>
      <c r="E224" s="2">
        <v>0.67</v>
      </c>
    </row>
    <row r="225" spans="1:5" x14ac:dyDescent="0.35">
      <c r="A225" t="s">
        <v>573</v>
      </c>
      <c r="B225" t="s">
        <v>574</v>
      </c>
      <c r="C225" s="1">
        <v>85000</v>
      </c>
      <c r="D225" s="1">
        <v>100000</v>
      </c>
      <c r="E225" s="2">
        <v>0.67</v>
      </c>
    </row>
    <row r="226" spans="1:5" x14ac:dyDescent="0.35">
      <c r="A226" t="s">
        <v>575</v>
      </c>
      <c r="B226" t="s">
        <v>576</v>
      </c>
      <c r="C226" s="1">
        <v>85000</v>
      </c>
      <c r="D226" s="1">
        <v>100000</v>
      </c>
      <c r="E226" s="2">
        <v>0.67</v>
      </c>
    </row>
    <row r="227" spans="1:5" x14ac:dyDescent="0.35">
      <c r="A227" t="s">
        <v>577</v>
      </c>
      <c r="B227" t="s">
        <v>578</v>
      </c>
      <c r="C227" s="1">
        <v>85000</v>
      </c>
      <c r="D227" s="1">
        <v>100000</v>
      </c>
      <c r="E227" s="2">
        <v>0.67</v>
      </c>
    </row>
    <row r="228" spans="1:5" x14ac:dyDescent="0.35">
      <c r="A228" t="s">
        <v>579</v>
      </c>
      <c r="B228" t="s">
        <v>580</v>
      </c>
      <c r="C228" s="1">
        <v>85000</v>
      </c>
      <c r="D228" s="1">
        <v>100000</v>
      </c>
      <c r="E228" s="2">
        <v>0.67</v>
      </c>
    </row>
    <row r="229" spans="1:5" x14ac:dyDescent="0.35">
      <c r="A229" t="s">
        <v>581</v>
      </c>
      <c r="B229" t="s">
        <v>582</v>
      </c>
      <c r="C229" s="1">
        <v>85000</v>
      </c>
      <c r="D229" s="1">
        <v>100000</v>
      </c>
      <c r="E229" s="2">
        <v>0.67</v>
      </c>
    </row>
    <row r="230" spans="1:5" x14ac:dyDescent="0.35">
      <c r="A230" t="s">
        <v>583</v>
      </c>
      <c r="B230" t="s">
        <v>584</v>
      </c>
      <c r="C230" s="1">
        <v>85000</v>
      </c>
      <c r="D230" s="1">
        <v>100000</v>
      </c>
      <c r="E230" s="2">
        <v>0.67</v>
      </c>
    </row>
    <row r="231" spans="1:5" x14ac:dyDescent="0.35">
      <c r="A231" t="s">
        <v>585</v>
      </c>
      <c r="B231" t="s">
        <v>586</v>
      </c>
      <c r="C231" s="1">
        <v>85000</v>
      </c>
      <c r="D231" s="1">
        <v>100000</v>
      </c>
      <c r="E231" s="2">
        <v>0.67</v>
      </c>
    </row>
    <row r="232" spans="1:5" x14ac:dyDescent="0.35">
      <c r="A232" t="s">
        <v>587</v>
      </c>
      <c r="B232" t="s">
        <v>588</v>
      </c>
      <c r="C232" s="1">
        <v>85000</v>
      </c>
      <c r="D232" s="1">
        <v>100000</v>
      </c>
      <c r="E232" s="2">
        <v>0.67</v>
      </c>
    </row>
    <row r="233" spans="1:5" x14ac:dyDescent="0.35">
      <c r="A233" t="s">
        <v>589</v>
      </c>
      <c r="B233" t="s">
        <v>590</v>
      </c>
      <c r="C233" s="1">
        <v>85000</v>
      </c>
      <c r="D233" s="1">
        <v>100000</v>
      </c>
      <c r="E233" s="2">
        <v>0.67</v>
      </c>
    </row>
    <row r="234" spans="1:5" x14ac:dyDescent="0.35">
      <c r="A234" t="s">
        <v>591</v>
      </c>
      <c r="B234" t="s">
        <v>592</v>
      </c>
      <c r="C234" s="1">
        <v>85000</v>
      </c>
      <c r="D234" s="1">
        <v>100000</v>
      </c>
      <c r="E234" s="2">
        <v>0.67</v>
      </c>
    </row>
    <row r="235" spans="1:5" x14ac:dyDescent="0.35">
      <c r="A235" t="s">
        <v>593</v>
      </c>
      <c r="B235" t="s">
        <v>594</v>
      </c>
      <c r="C235" s="1">
        <v>85000</v>
      </c>
      <c r="D235" s="1">
        <v>100000</v>
      </c>
      <c r="E235" s="2">
        <v>0.67</v>
      </c>
    </row>
    <row r="236" spans="1:5" x14ac:dyDescent="0.35">
      <c r="A236" t="s">
        <v>595</v>
      </c>
      <c r="B236" t="s">
        <v>596</v>
      </c>
      <c r="C236" s="1">
        <v>85000</v>
      </c>
      <c r="D236" s="1">
        <v>100000</v>
      </c>
      <c r="E236" s="2">
        <v>0.67</v>
      </c>
    </row>
    <row r="237" spans="1:5" x14ac:dyDescent="0.35">
      <c r="A237" t="s">
        <v>597</v>
      </c>
      <c r="B237" t="s">
        <v>598</v>
      </c>
      <c r="C237" s="1">
        <v>85000</v>
      </c>
      <c r="D237" s="1">
        <v>100000</v>
      </c>
      <c r="E237" s="2">
        <v>0.67</v>
      </c>
    </row>
    <row r="238" spans="1:5" x14ac:dyDescent="0.35">
      <c r="A238" t="s">
        <v>599</v>
      </c>
      <c r="B238" t="s">
        <v>600</v>
      </c>
      <c r="C238" s="1">
        <v>85000</v>
      </c>
      <c r="D238" s="1">
        <v>100000</v>
      </c>
      <c r="E238" s="2">
        <v>0.67</v>
      </c>
    </row>
    <row r="239" spans="1:5" x14ac:dyDescent="0.35">
      <c r="A239" t="s">
        <v>601</v>
      </c>
      <c r="B239" t="s">
        <v>602</v>
      </c>
      <c r="C239" s="1">
        <v>85000</v>
      </c>
      <c r="D239" s="1">
        <v>100000</v>
      </c>
      <c r="E239" s="2">
        <v>0.67</v>
      </c>
    </row>
    <row r="240" spans="1:5" x14ac:dyDescent="0.35">
      <c r="A240" t="s">
        <v>603</v>
      </c>
      <c r="B240" t="s">
        <v>604</v>
      </c>
      <c r="C240" s="1">
        <v>85000</v>
      </c>
      <c r="D240" s="1">
        <v>100000</v>
      </c>
      <c r="E240" s="2">
        <v>0.67</v>
      </c>
    </row>
    <row r="241" spans="1:5" x14ac:dyDescent="0.35">
      <c r="A241" t="s">
        <v>605</v>
      </c>
      <c r="B241" t="s">
        <v>606</v>
      </c>
      <c r="C241" s="1">
        <v>85000</v>
      </c>
      <c r="D241" s="1">
        <v>100000</v>
      </c>
      <c r="E241" s="2">
        <v>0.67</v>
      </c>
    </row>
    <row r="242" spans="1:5" x14ac:dyDescent="0.35">
      <c r="A242" t="s">
        <v>607</v>
      </c>
      <c r="B242" t="s">
        <v>608</v>
      </c>
      <c r="C242" s="1">
        <v>85000</v>
      </c>
      <c r="D242" s="1">
        <v>100000</v>
      </c>
      <c r="E242" s="2">
        <v>0.67</v>
      </c>
    </row>
    <row r="243" spans="1:5" x14ac:dyDescent="0.35">
      <c r="A243" t="s">
        <v>609</v>
      </c>
      <c r="B243" t="s">
        <v>610</v>
      </c>
      <c r="C243" s="1">
        <v>85000</v>
      </c>
      <c r="D243" s="1">
        <v>100000</v>
      </c>
      <c r="E243" s="2">
        <v>0.67</v>
      </c>
    </row>
    <row r="244" spans="1:5" x14ac:dyDescent="0.35">
      <c r="A244" t="s">
        <v>611</v>
      </c>
      <c r="B244" t="s">
        <v>612</v>
      </c>
      <c r="C244" s="1">
        <v>85000</v>
      </c>
      <c r="D244" s="1">
        <v>100000</v>
      </c>
      <c r="E244" s="2">
        <v>0.67</v>
      </c>
    </row>
    <row r="245" spans="1:5" x14ac:dyDescent="0.35">
      <c r="A245" t="s">
        <v>613</v>
      </c>
      <c r="B245" t="s">
        <v>614</v>
      </c>
      <c r="C245" s="1">
        <v>85000</v>
      </c>
      <c r="D245" s="1">
        <v>100000</v>
      </c>
      <c r="E245" s="2">
        <v>0.67</v>
      </c>
    </row>
    <row r="246" spans="1:5" x14ac:dyDescent="0.35">
      <c r="A246" t="s">
        <v>615</v>
      </c>
      <c r="B246" t="s">
        <v>616</v>
      </c>
      <c r="C246" s="1">
        <v>85000</v>
      </c>
      <c r="D246" s="1">
        <v>100000</v>
      </c>
      <c r="E246" s="2">
        <v>0.67</v>
      </c>
    </row>
    <row r="247" spans="1:5" x14ac:dyDescent="0.35">
      <c r="A247" t="s">
        <v>617</v>
      </c>
      <c r="B247" t="s">
        <v>618</v>
      </c>
      <c r="C247" s="1">
        <v>85000</v>
      </c>
      <c r="D247" s="1">
        <v>100000</v>
      </c>
      <c r="E247" s="2">
        <v>0.67</v>
      </c>
    </row>
    <row r="248" spans="1:5" x14ac:dyDescent="0.35">
      <c r="A248" t="s">
        <v>619</v>
      </c>
      <c r="B248" t="s">
        <v>620</v>
      </c>
      <c r="C248" s="1">
        <v>85000</v>
      </c>
      <c r="D248" s="1">
        <v>100000</v>
      </c>
      <c r="E248" s="2">
        <v>0.67</v>
      </c>
    </row>
    <row r="249" spans="1:5" x14ac:dyDescent="0.35">
      <c r="A249" t="s">
        <v>621</v>
      </c>
      <c r="B249" t="s">
        <v>622</v>
      </c>
      <c r="C249" s="1">
        <v>85000</v>
      </c>
      <c r="D249" s="1">
        <v>100000</v>
      </c>
      <c r="E249" s="2">
        <v>0.67</v>
      </c>
    </row>
    <row r="250" spans="1:5" x14ac:dyDescent="0.35">
      <c r="A250" t="s">
        <v>623</v>
      </c>
      <c r="B250" t="s">
        <v>624</v>
      </c>
      <c r="C250" s="1">
        <v>85000</v>
      </c>
      <c r="D250" s="1">
        <v>100000</v>
      </c>
      <c r="E250" s="2">
        <v>0.67</v>
      </c>
    </row>
    <row r="251" spans="1:5" x14ac:dyDescent="0.35">
      <c r="A251" t="s">
        <v>625</v>
      </c>
      <c r="B251" t="s">
        <v>626</v>
      </c>
      <c r="C251" s="1">
        <v>85000</v>
      </c>
      <c r="D251" s="1">
        <v>100000</v>
      </c>
      <c r="E251" s="2">
        <v>0.67</v>
      </c>
    </row>
    <row r="252" spans="1:5" x14ac:dyDescent="0.35">
      <c r="A252" t="s">
        <v>627</v>
      </c>
      <c r="B252" t="s">
        <v>628</v>
      </c>
      <c r="C252" s="1">
        <v>85000</v>
      </c>
      <c r="D252" s="1">
        <v>100000</v>
      </c>
      <c r="E252" s="2">
        <v>0.67</v>
      </c>
    </row>
    <row r="253" spans="1:5" x14ac:dyDescent="0.35">
      <c r="A253" t="s">
        <v>629</v>
      </c>
      <c r="B253" t="s">
        <v>630</v>
      </c>
      <c r="C253" s="1">
        <v>85000</v>
      </c>
      <c r="D253" s="1">
        <v>100000</v>
      </c>
      <c r="E253" s="2">
        <v>0.67</v>
      </c>
    </row>
    <row r="254" spans="1:5" x14ac:dyDescent="0.35">
      <c r="A254" t="s">
        <v>631</v>
      </c>
      <c r="B254" t="s">
        <v>632</v>
      </c>
      <c r="C254" s="1">
        <v>85000</v>
      </c>
      <c r="D254" s="1">
        <v>100000</v>
      </c>
      <c r="E254" s="2">
        <v>0.67</v>
      </c>
    </row>
    <row r="255" spans="1:5" x14ac:dyDescent="0.35">
      <c r="A255" t="s">
        <v>633</v>
      </c>
      <c r="B255" t="s">
        <v>634</v>
      </c>
      <c r="C255" s="1">
        <v>85000</v>
      </c>
      <c r="D255" s="1">
        <v>100000</v>
      </c>
      <c r="E255" s="2">
        <v>0.67</v>
      </c>
    </row>
    <row r="256" spans="1:5" x14ac:dyDescent="0.35">
      <c r="A256" t="s">
        <v>635</v>
      </c>
      <c r="B256" t="s">
        <v>636</v>
      </c>
      <c r="C256" s="1">
        <v>85000</v>
      </c>
      <c r="D256" s="1">
        <v>100000</v>
      </c>
      <c r="E256" s="2">
        <v>0.67</v>
      </c>
    </row>
    <row r="257" spans="1:5" x14ac:dyDescent="0.35">
      <c r="A257" t="s">
        <v>637</v>
      </c>
      <c r="B257" t="s">
        <v>638</v>
      </c>
      <c r="C257" s="1">
        <v>85000</v>
      </c>
      <c r="D257" s="1">
        <v>100000</v>
      </c>
      <c r="E257" s="2">
        <v>0.67</v>
      </c>
    </row>
    <row r="258" spans="1:5" x14ac:dyDescent="0.35">
      <c r="A258" t="s">
        <v>639</v>
      </c>
      <c r="B258" t="s">
        <v>640</v>
      </c>
      <c r="C258" s="1">
        <v>85000</v>
      </c>
      <c r="D258" s="1">
        <v>100000</v>
      </c>
      <c r="E258" s="2">
        <v>0.67</v>
      </c>
    </row>
    <row r="259" spans="1:5" x14ac:dyDescent="0.35">
      <c r="A259" t="s">
        <v>641</v>
      </c>
      <c r="B259" t="s">
        <v>642</v>
      </c>
      <c r="C259" s="1">
        <v>85000</v>
      </c>
      <c r="D259" s="1">
        <v>100000</v>
      </c>
      <c r="E259" s="2">
        <v>0.67</v>
      </c>
    </row>
    <row r="260" spans="1:5" x14ac:dyDescent="0.35">
      <c r="A260" t="s">
        <v>643</v>
      </c>
      <c r="B260" t="s">
        <v>644</v>
      </c>
      <c r="C260" s="1">
        <v>85000</v>
      </c>
      <c r="D260" s="1">
        <v>100000</v>
      </c>
      <c r="E260" s="2">
        <v>0.67</v>
      </c>
    </row>
    <row r="261" spans="1:5" x14ac:dyDescent="0.35">
      <c r="A261" t="s">
        <v>645</v>
      </c>
      <c r="B261" t="s">
        <v>646</v>
      </c>
      <c r="C261" s="1">
        <v>85000</v>
      </c>
      <c r="D261" s="1">
        <v>100000</v>
      </c>
      <c r="E261" s="2">
        <v>0.67</v>
      </c>
    </row>
    <row r="262" spans="1:5" x14ac:dyDescent="0.35">
      <c r="A262" t="s">
        <v>647</v>
      </c>
      <c r="B262" t="s">
        <v>648</v>
      </c>
      <c r="C262" s="1">
        <v>85000</v>
      </c>
      <c r="D262" s="1">
        <v>100000</v>
      </c>
      <c r="E262" s="2">
        <v>0.67</v>
      </c>
    </row>
    <row r="263" spans="1:5" x14ac:dyDescent="0.35">
      <c r="A263" t="s">
        <v>649</v>
      </c>
      <c r="B263" t="s">
        <v>650</v>
      </c>
      <c r="C263" s="1">
        <v>85000</v>
      </c>
      <c r="D263" s="1">
        <v>100000</v>
      </c>
      <c r="E263" s="2">
        <v>0.67</v>
      </c>
    </row>
    <row r="264" spans="1:5" x14ac:dyDescent="0.35">
      <c r="A264" t="s">
        <v>651</v>
      </c>
      <c r="B264" t="s">
        <v>652</v>
      </c>
      <c r="C264" s="1">
        <v>85000</v>
      </c>
      <c r="D264" s="1">
        <v>100000</v>
      </c>
      <c r="E264" s="2">
        <v>0.67</v>
      </c>
    </row>
    <row r="265" spans="1:5" x14ac:dyDescent="0.35">
      <c r="A265" t="s">
        <v>653</v>
      </c>
      <c r="B265" t="s">
        <v>654</v>
      </c>
      <c r="C265" s="1">
        <v>85000</v>
      </c>
      <c r="D265" s="1">
        <v>100000</v>
      </c>
      <c r="E265" s="2">
        <v>0.67</v>
      </c>
    </row>
    <row r="266" spans="1:5" x14ac:dyDescent="0.35">
      <c r="A266" t="s">
        <v>655</v>
      </c>
      <c r="B266" t="s">
        <v>656</v>
      </c>
      <c r="C266" s="1">
        <v>85000</v>
      </c>
      <c r="D266" s="1">
        <v>100000</v>
      </c>
      <c r="E266" s="2">
        <v>0.67</v>
      </c>
    </row>
    <row r="267" spans="1:5" x14ac:dyDescent="0.35">
      <c r="A267" t="s">
        <v>657</v>
      </c>
      <c r="B267" t="s">
        <v>658</v>
      </c>
      <c r="C267" s="1">
        <v>85000</v>
      </c>
      <c r="D267" s="1">
        <v>100000</v>
      </c>
      <c r="E267" s="2">
        <v>0.67</v>
      </c>
    </row>
    <row r="268" spans="1:5" x14ac:dyDescent="0.35">
      <c r="A268" t="s">
        <v>659</v>
      </c>
      <c r="B268" t="s">
        <v>660</v>
      </c>
      <c r="C268" s="1">
        <v>85000</v>
      </c>
      <c r="D268" s="1">
        <v>100000</v>
      </c>
      <c r="E268" s="2">
        <v>0.67</v>
      </c>
    </row>
    <row r="269" spans="1:5" x14ac:dyDescent="0.35">
      <c r="A269" t="s">
        <v>661</v>
      </c>
      <c r="B269" t="s">
        <v>662</v>
      </c>
      <c r="C269" s="1">
        <v>85000</v>
      </c>
      <c r="D269" s="1">
        <v>100000</v>
      </c>
      <c r="E269" s="2">
        <v>0.67</v>
      </c>
    </row>
    <row r="270" spans="1:5" x14ac:dyDescent="0.35">
      <c r="A270" t="s">
        <v>663</v>
      </c>
      <c r="B270" t="s">
        <v>664</v>
      </c>
      <c r="C270" s="1">
        <v>85000</v>
      </c>
      <c r="D270" s="1">
        <v>100000</v>
      </c>
      <c r="E270" s="2">
        <v>0.67</v>
      </c>
    </row>
    <row r="271" spans="1:5" x14ac:dyDescent="0.35">
      <c r="A271" t="s">
        <v>665</v>
      </c>
      <c r="B271" t="s">
        <v>666</v>
      </c>
      <c r="C271" s="1">
        <v>85000</v>
      </c>
      <c r="D271" s="1">
        <v>100000</v>
      </c>
      <c r="E271" s="2">
        <v>0.67</v>
      </c>
    </row>
    <row r="272" spans="1:5" x14ac:dyDescent="0.35">
      <c r="A272" t="s">
        <v>667</v>
      </c>
      <c r="B272" t="s">
        <v>668</v>
      </c>
      <c r="C272" s="1">
        <v>85000</v>
      </c>
      <c r="D272" s="1">
        <v>100000</v>
      </c>
      <c r="E272" s="2">
        <v>0.67</v>
      </c>
    </row>
    <row r="273" spans="1:5" x14ac:dyDescent="0.35">
      <c r="A273" t="s">
        <v>669</v>
      </c>
      <c r="B273" t="s">
        <v>670</v>
      </c>
      <c r="C273" s="1">
        <v>85000</v>
      </c>
      <c r="D273" s="1">
        <v>100000</v>
      </c>
      <c r="E273" s="2">
        <v>0.67</v>
      </c>
    </row>
    <row r="274" spans="1:5" x14ac:dyDescent="0.35">
      <c r="A274" t="s">
        <v>671</v>
      </c>
      <c r="B274" t="s">
        <v>672</v>
      </c>
      <c r="C274" s="1">
        <v>85000</v>
      </c>
      <c r="D274" s="1">
        <v>100000</v>
      </c>
      <c r="E274" s="2">
        <v>0.67</v>
      </c>
    </row>
    <row r="275" spans="1:5" x14ac:dyDescent="0.35">
      <c r="A275" t="s">
        <v>673</v>
      </c>
      <c r="B275" t="s">
        <v>674</v>
      </c>
      <c r="C275" s="1">
        <v>85000</v>
      </c>
      <c r="D275" s="1">
        <v>100000</v>
      </c>
      <c r="E275" s="2">
        <v>0.67</v>
      </c>
    </row>
    <row r="276" spans="1:5" x14ac:dyDescent="0.35">
      <c r="A276" t="s">
        <v>675</v>
      </c>
      <c r="B276" t="s">
        <v>676</v>
      </c>
      <c r="C276" s="1">
        <v>85000</v>
      </c>
      <c r="D276" s="1">
        <v>100000</v>
      </c>
      <c r="E276" s="2">
        <v>0.67</v>
      </c>
    </row>
    <row r="277" spans="1:5" x14ac:dyDescent="0.35">
      <c r="A277" t="s">
        <v>677</v>
      </c>
      <c r="B277" t="s">
        <v>678</v>
      </c>
      <c r="C277" s="1">
        <v>85000</v>
      </c>
      <c r="D277" s="1">
        <v>100000</v>
      </c>
      <c r="E277" s="2">
        <v>0.67</v>
      </c>
    </row>
    <row r="278" spans="1:5" x14ac:dyDescent="0.35">
      <c r="A278" t="s">
        <v>679</v>
      </c>
      <c r="B278" t="s">
        <v>680</v>
      </c>
      <c r="C278" s="1">
        <v>85000</v>
      </c>
      <c r="D278" s="1">
        <v>100000</v>
      </c>
      <c r="E278" s="2">
        <v>0.67</v>
      </c>
    </row>
    <row r="279" spans="1:5" x14ac:dyDescent="0.35">
      <c r="A279" t="s">
        <v>681</v>
      </c>
      <c r="B279" t="s">
        <v>682</v>
      </c>
      <c r="C279" s="1">
        <v>85000</v>
      </c>
      <c r="D279" s="1">
        <v>100000</v>
      </c>
      <c r="E279" s="2">
        <v>0.67</v>
      </c>
    </row>
    <row r="280" spans="1:5" x14ac:dyDescent="0.35">
      <c r="A280" t="s">
        <v>683</v>
      </c>
      <c r="B280" t="s">
        <v>684</v>
      </c>
      <c r="C280" s="1">
        <v>85000</v>
      </c>
      <c r="D280" s="1">
        <v>100000</v>
      </c>
      <c r="E280" s="2">
        <v>0.67</v>
      </c>
    </row>
    <row r="281" spans="1:5" x14ac:dyDescent="0.35">
      <c r="A281" t="s">
        <v>685</v>
      </c>
      <c r="B281" t="s">
        <v>686</v>
      </c>
      <c r="C281" s="1">
        <v>85000</v>
      </c>
      <c r="D281" s="1">
        <v>100000</v>
      </c>
      <c r="E281" s="2">
        <v>0.67</v>
      </c>
    </row>
    <row r="282" spans="1:5" x14ac:dyDescent="0.35">
      <c r="A282" t="s">
        <v>687</v>
      </c>
      <c r="B282" t="s">
        <v>688</v>
      </c>
      <c r="C282" s="1">
        <v>85000</v>
      </c>
      <c r="D282" s="1">
        <v>100000</v>
      </c>
      <c r="E282" s="2">
        <v>0.67</v>
      </c>
    </row>
    <row r="283" spans="1:5" x14ac:dyDescent="0.35">
      <c r="A283" t="s">
        <v>689</v>
      </c>
      <c r="B283" t="s">
        <v>690</v>
      </c>
      <c r="C283" s="1">
        <v>85000</v>
      </c>
      <c r="D283" s="1">
        <v>100000</v>
      </c>
      <c r="E283" s="2">
        <v>0.67</v>
      </c>
    </row>
    <row r="284" spans="1:5" x14ac:dyDescent="0.35">
      <c r="A284" t="s">
        <v>691</v>
      </c>
      <c r="B284" t="s">
        <v>692</v>
      </c>
      <c r="C284" s="1">
        <v>85000</v>
      </c>
      <c r="D284" s="1">
        <v>100000</v>
      </c>
      <c r="E284" s="2">
        <v>0.67</v>
      </c>
    </row>
    <row r="285" spans="1:5" x14ac:dyDescent="0.35">
      <c r="A285" t="s">
        <v>693</v>
      </c>
      <c r="B285" t="s">
        <v>694</v>
      </c>
      <c r="C285" s="1">
        <v>85000</v>
      </c>
      <c r="D285" s="1">
        <v>100000</v>
      </c>
      <c r="E285" s="2">
        <v>0.67</v>
      </c>
    </row>
    <row r="286" spans="1:5" x14ac:dyDescent="0.35">
      <c r="A286" t="s">
        <v>695</v>
      </c>
      <c r="B286" t="s">
        <v>696</v>
      </c>
      <c r="C286" s="1">
        <v>85000</v>
      </c>
      <c r="D286" s="1">
        <v>100000</v>
      </c>
      <c r="E286" s="2">
        <v>0.67</v>
      </c>
    </row>
    <row r="287" spans="1:5" x14ac:dyDescent="0.35">
      <c r="A287" t="s">
        <v>697</v>
      </c>
      <c r="B287" t="s">
        <v>698</v>
      </c>
      <c r="C287" s="1">
        <v>85000</v>
      </c>
      <c r="D287" s="1">
        <v>100000</v>
      </c>
      <c r="E287" s="2">
        <v>0.67</v>
      </c>
    </row>
    <row r="288" spans="1:5" x14ac:dyDescent="0.35">
      <c r="A288" t="s">
        <v>699</v>
      </c>
      <c r="B288" t="s">
        <v>700</v>
      </c>
      <c r="C288" s="1">
        <v>85000</v>
      </c>
      <c r="D288" s="1">
        <v>100000</v>
      </c>
      <c r="E288" s="2">
        <v>0.67</v>
      </c>
    </row>
    <row r="289" spans="1:5" x14ac:dyDescent="0.35">
      <c r="A289" t="s">
        <v>701</v>
      </c>
      <c r="B289" t="s">
        <v>702</v>
      </c>
      <c r="C289" s="1">
        <v>85000</v>
      </c>
      <c r="D289" s="1">
        <v>100000</v>
      </c>
      <c r="E289" s="2">
        <v>0.67</v>
      </c>
    </row>
    <row r="290" spans="1:5" x14ac:dyDescent="0.35">
      <c r="A290" t="s">
        <v>703</v>
      </c>
      <c r="B290" t="s">
        <v>704</v>
      </c>
      <c r="C290" s="1">
        <v>85000</v>
      </c>
      <c r="D290" s="1">
        <v>100000</v>
      </c>
      <c r="E290" s="2">
        <v>0.67</v>
      </c>
    </row>
    <row r="291" spans="1:5" x14ac:dyDescent="0.35">
      <c r="A291" t="s">
        <v>705</v>
      </c>
      <c r="B291" t="s">
        <v>706</v>
      </c>
      <c r="C291" s="1">
        <v>85000</v>
      </c>
      <c r="D291" s="1">
        <v>100000</v>
      </c>
      <c r="E291" s="2">
        <v>0.67</v>
      </c>
    </row>
    <row r="292" spans="1:5" x14ac:dyDescent="0.35">
      <c r="A292" t="s">
        <v>707</v>
      </c>
      <c r="B292" t="s">
        <v>708</v>
      </c>
      <c r="C292" s="1">
        <v>85000</v>
      </c>
      <c r="D292" s="1">
        <v>100000</v>
      </c>
      <c r="E292" s="2">
        <v>0.67</v>
      </c>
    </row>
    <row r="293" spans="1:5" x14ac:dyDescent="0.35">
      <c r="A293" t="s">
        <v>709</v>
      </c>
      <c r="B293" t="s">
        <v>710</v>
      </c>
      <c r="C293" s="1">
        <v>85000</v>
      </c>
      <c r="D293" s="1">
        <v>100000</v>
      </c>
      <c r="E293" s="2">
        <v>0.67</v>
      </c>
    </row>
    <row r="294" spans="1:5" x14ac:dyDescent="0.35">
      <c r="A294" t="s">
        <v>711</v>
      </c>
      <c r="B294" t="s">
        <v>712</v>
      </c>
      <c r="C294" s="1">
        <v>85000</v>
      </c>
      <c r="D294" s="1">
        <v>100000</v>
      </c>
      <c r="E294" s="2">
        <v>0.67</v>
      </c>
    </row>
    <row r="295" spans="1:5" x14ac:dyDescent="0.35">
      <c r="A295" t="s">
        <v>713</v>
      </c>
      <c r="B295" t="s">
        <v>714</v>
      </c>
      <c r="C295" s="1">
        <v>85000</v>
      </c>
      <c r="D295" s="1">
        <v>100000</v>
      </c>
      <c r="E295" s="2">
        <v>0.67</v>
      </c>
    </row>
    <row r="296" spans="1:5" x14ac:dyDescent="0.35">
      <c r="A296" t="s">
        <v>715</v>
      </c>
      <c r="B296" t="s">
        <v>716</v>
      </c>
      <c r="C296" s="1">
        <v>85000</v>
      </c>
      <c r="D296" s="1">
        <v>100000</v>
      </c>
      <c r="E296" s="2">
        <v>0.67</v>
      </c>
    </row>
    <row r="297" spans="1:5" x14ac:dyDescent="0.35">
      <c r="A297" t="s">
        <v>717</v>
      </c>
      <c r="B297" t="s">
        <v>718</v>
      </c>
      <c r="C297" s="1">
        <v>85000</v>
      </c>
      <c r="D297" s="1">
        <v>100000</v>
      </c>
      <c r="E297" s="2">
        <v>0.67</v>
      </c>
    </row>
    <row r="298" spans="1:5" x14ac:dyDescent="0.35">
      <c r="A298" t="s">
        <v>719</v>
      </c>
      <c r="B298" t="s">
        <v>720</v>
      </c>
      <c r="C298" s="1">
        <v>85000</v>
      </c>
      <c r="D298" s="1">
        <v>100000</v>
      </c>
      <c r="E298" s="2">
        <v>0.67</v>
      </c>
    </row>
    <row r="299" spans="1:5" x14ac:dyDescent="0.35">
      <c r="A299" t="s">
        <v>721</v>
      </c>
      <c r="B299" t="s">
        <v>722</v>
      </c>
      <c r="C299" s="1">
        <v>85000</v>
      </c>
      <c r="D299" s="1">
        <v>100000</v>
      </c>
      <c r="E299" s="2">
        <v>0.67</v>
      </c>
    </row>
    <row r="300" spans="1:5" x14ac:dyDescent="0.35">
      <c r="A300" t="s">
        <v>723</v>
      </c>
      <c r="B300" t="s">
        <v>724</v>
      </c>
      <c r="C300" s="1">
        <v>85000</v>
      </c>
      <c r="D300" s="1">
        <v>100000</v>
      </c>
      <c r="E300" s="2">
        <v>0.67</v>
      </c>
    </row>
    <row r="301" spans="1:5" x14ac:dyDescent="0.35">
      <c r="A301" t="s">
        <v>725</v>
      </c>
      <c r="B301" t="s">
        <v>726</v>
      </c>
      <c r="C301" s="1">
        <v>85000</v>
      </c>
      <c r="D301" s="1">
        <v>100000</v>
      </c>
      <c r="E301" s="2">
        <v>0.67</v>
      </c>
    </row>
    <row r="302" spans="1:5" x14ac:dyDescent="0.35">
      <c r="A302" t="s">
        <v>727</v>
      </c>
      <c r="B302" t="s">
        <v>728</v>
      </c>
      <c r="C302" s="1">
        <v>85000</v>
      </c>
      <c r="D302" s="1">
        <v>100000</v>
      </c>
      <c r="E302" s="2">
        <v>0.67</v>
      </c>
    </row>
    <row r="303" spans="1:5" x14ac:dyDescent="0.35">
      <c r="A303" t="s">
        <v>729</v>
      </c>
      <c r="B303" t="s">
        <v>730</v>
      </c>
      <c r="C303" s="1">
        <v>85000</v>
      </c>
      <c r="D303" s="1">
        <v>100000</v>
      </c>
      <c r="E303" s="2">
        <v>0.67</v>
      </c>
    </row>
    <row r="304" spans="1:5" x14ac:dyDescent="0.35">
      <c r="A304" t="s">
        <v>731</v>
      </c>
      <c r="B304" t="s">
        <v>732</v>
      </c>
      <c r="C304" s="1">
        <v>85000</v>
      </c>
      <c r="D304" s="1">
        <v>100000</v>
      </c>
      <c r="E304" s="2">
        <v>0.67</v>
      </c>
    </row>
    <row r="305" spans="1:5" x14ac:dyDescent="0.35">
      <c r="A305" t="s">
        <v>733</v>
      </c>
      <c r="B305" t="s">
        <v>734</v>
      </c>
      <c r="C305" s="1">
        <v>85000</v>
      </c>
      <c r="D305" s="1">
        <v>100000</v>
      </c>
      <c r="E305" s="2">
        <v>0.67</v>
      </c>
    </row>
    <row r="306" spans="1:5" x14ac:dyDescent="0.35">
      <c r="A306" t="s">
        <v>735</v>
      </c>
      <c r="B306" t="s">
        <v>736</v>
      </c>
      <c r="C306" s="1">
        <v>85000</v>
      </c>
      <c r="D306" s="1">
        <v>100000</v>
      </c>
      <c r="E306" s="2">
        <v>0.67</v>
      </c>
    </row>
    <row r="307" spans="1:5" x14ac:dyDescent="0.35">
      <c r="A307" t="s">
        <v>737</v>
      </c>
      <c r="B307" t="s">
        <v>738</v>
      </c>
      <c r="C307" s="1">
        <v>85000</v>
      </c>
      <c r="D307" s="1">
        <v>100000</v>
      </c>
      <c r="E307" s="2">
        <v>0.67</v>
      </c>
    </row>
    <row r="308" spans="1:5" x14ac:dyDescent="0.35">
      <c r="A308" t="s">
        <v>739</v>
      </c>
      <c r="B308" t="s">
        <v>740</v>
      </c>
      <c r="C308" s="1">
        <v>85000</v>
      </c>
      <c r="D308" s="1">
        <v>100000</v>
      </c>
      <c r="E308" s="2">
        <v>0.67</v>
      </c>
    </row>
    <row r="309" spans="1:5" x14ac:dyDescent="0.35">
      <c r="A309" t="s">
        <v>741</v>
      </c>
      <c r="B309" t="s">
        <v>742</v>
      </c>
      <c r="C309" s="1">
        <v>85000</v>
      </c>
      <c r="D309" s="1">
        <v>100000</v>
      </c>
      <c r="E309" s="2">
        <v>0.67</v>
      </c>
    </row>
    <row r="310" spans="1:5" x14ac:dyDescent="0.35">
      <c r="A310" t="s">
        <v>743</v>
      </c>
      <c r="B310" t="s">
        <v>744</v>
      </c>
      <c r="C310" s="1">
        <v>85000</v>
      </c>
      <c r="D310" s="1">
        <v>100000</v>
      </c>
      <c r="E310" s="2">
        <v>0.67</v>
      </c>
    </row>
    <row r="311" spans="1:5" x14ac:dyDescent="0.35">
      <c r="A311" t="s">
        <v>745</v>
      </c>
      <c r="B311" t="s">
        <v>746</v>
      </c>
      <c r="C311" s="1">
        <v>85000</v>
      </c>
      <c r="D311" s="1">
        <v>100000</v>
      </c>
      <c r="E311" s="2">
        <v>0.67</v>
      </c>
    </row>
    <row r="312" spans="1:5" x14ac:dyDescent="0.35">
      <c r="A312" t="s">
        <v>747</v>
      </c>
      <c r="B312" t="s">
        <v>748</v>
      </c>
      <c r="C312" s="1">
        <v>85000</v>
      </c>
      <c r="D312" s="1">
        <v>100000</v>
      </c>
      <c r="E312" s="2">
        <v>0.67</v>
      </c>
    </row>
    <row r="313" spans="1:5" x14ac:dyDescent="0.35">
      <c r="A313" t="s">
        <v>749</v>
      </c>
      <c r="B313" t="s">
        <v>750</v>
      </c>
      <c r="C313" s="1">
        <v>85000</v>
      </c>
      <c r="D313" s="1">
        <v>100000</v>
      </c>
      <c r="E313" s="2">
        <v>0.67</v>
      </c>
    </row>
    <row r="314" spans="1:5" x14ac:dyDescent="0.35">
      <c r="A314" t="s">
        <v>751</v>
      </c>
      <c r="B314" t="s">
        <v>752</v>
      </c>
      <c r="C314" s="1">
        <v>85000</v>
      </c>
      <c r="D314" s="1">
        <v>100000</v>
      </c>
      <c r="E314" s="2">
        <v>0.67</v>
      </c>
    </row>
    <row r="315" spans="1:5" x14ac:dyDescent="0.35">
      <c r="A315" t="s">
        <v>753</v>
      </c>
      <c r="B315" t="s">
        <v>754</v>
      </c>
      <c r="C315" s="1">
        <v>85000</v>
      </c>
      <c r="D315" s="1">
        <v>100000</v>
      </c>
      <c r="E315" s="2">
        <v>0.67</v>
      </c>
    </row>
    <row r="316" spans="1:5" x14ac:dyDescent="0.35">
      <c r="A316" t="s">
        <v>755</v>
      </c>
      <c r="B316" t="s">
        <v>756</v>
      </c>
      <c r="C316" s="1">
        <v>85000</v>
      </c>
      <c r="D316" s="1">
        <v>100000</v>
      </c>
      <c r="E316" s="2">
        <v>0.67</v>
      </c>
    </row>
    <row r="317" spans="1:5" x14ac:dyDescent="0.35">
      <c r="A317" t="s">
        <v>757</v>
      </c>
      <c r="B317" t="s">
        <v>758</v>
      </c>
      <c r="C317" s="1">
        <v>85000</v>
      </c>
      <c r="D317" s="1">
        <v>100000</v>
      </c>
      <c r="E317" s="2">
        <v>0.67</v>
      </c>
    </row>
    <row r="318" spans="1:5" x14ac:dyDescent="0.35">
      <c r="A318" t="s">
        <v>759</v>
      </c>
      <c r="B318" t="s">
        <v>760</v>
      </c>
      <c r="C318" s="1">
        <v>85000</v>
      </c>
      <c r="D318" s="1">
        <v>100000</v>
      </c>
      <c r="E318" s="2">
        <v>0.67</v>
      </c>
    </row>
    <row r="319" spans="1:5" x14ac:dyDescent="0.35">
      <c r="A319" t="s">
        <v>761</v>
      </c>
      <c r="B319" t="s">
        <v>762</v>
      </c>
      <c r="C319" s="1">
        <v>85000</v>
      </c>
      <c r="D319" s="1">
        <v>100000</v>
      </c>
      <c r="E319" s="2">
        <v>0.67</v>
      </c>
    </row>
    <row r="320" spans="1:5" x14ac:dyDescent="0.35">
      <c r="A320" t="s">
        <v>763</v>
      </c>
      <c r="B320" t="s">
        <v>764</v>
      </c>
      <c r="C320" s="1">
        <v>85000</v>
      </c>
      <c r="D320" s="1">
        <v>100000</v>
      </c>
      <c r="E320" s="2">
        <v>0.67</v>
      </c>
    </row>
    <row r="321" spans="1:5" x14ac:dyDescent="0.35">
      <c r="A321" t="s">
        <v>765</v>
      </c>
      <c r="B321" t="s">
        <v>766</v>
      </c>
      <c r="C321" s="1">
        <v>85000</v>
      </c>
      <c r="D321" s="1">
        <v>100000</v>
      </c>
      <c r="E321" s="2">
        <v>0.67</v>
      </c>
    </row>
    <row r="322" spans="1:5" x14ac:dyDescent="0.35">
      <c r="A322" t="s">
        <v>767</v>
      </c>
      <c r="B322" t="s">
        <v>768</v>
      </c>
      <c r="C322" s="1">
        <v>85000</v>
      </c>
      <c r="D322" s="1">
        <v>100000</v>
      </c>
      <c r="E322" s="2">
        <v>0.67</v>
      </c>
    </row>
    <row r="323" spans="1:5" x14ac:dyDescent="0.35">
      <c r="A323" t="s">
        <v>769</v>
      </c>
      <c r="B323" t="s">
        <v>770</v>
      </c>
      <c r="C323" s="1">
        <v>85000</v>
      </c>
      <c r="D323" s="1">
        <v>100000</v>
      </c>
      <c r="E323" s="2">
        <v>0.67</v>
      </c>
    </row>
    <row r="324" spans="1:5" x14ac:dyDescent="0.35">
      <c r="A324" t="s">
        <v>771</v>
      </c>
      <c r="B324" t="s">
        <v>772</v>
      </c>
      <c r="C324" s="1">
        <v>85000</v>
      </c>
      <c r="D324" s="1">
        <v>100000</v>
      </c>
      <c r="E324" s="2">
        <v>0.67</v>
      </c>
    </row>
    <row r="325" spans="1:5" x14ac:dyDescent="0.35">
      <c r="A325" t="s">
        <v>773</v>
      </c>
      <c r="B325" t="s">
        <v>774</v>
      </c>
      <c r="C325" s="1">
        <v>85000</v>
      </c>
      <c r="D325" s="1">
        <v>100000</v>
      </c>
      <c r="E325" s="2">
        <v>0.67</v>
      </c>
    </row>
    <row r="326" spans="1:5" x14ac:dyDescent="0.35">
      <c r="A326" t="s">
        <v>775</v>
      </c>
      <c r="B326" t="s">
        <v>776</v>
      </c>
      <c r="C326" s="1">
        <v>85000</v>
      </c>
      <c r="D326" s="1">
        <v>100000</v>
      </c>
      <c r="E326" s="2">
        <v>0.67</v>
      </c>
    </row>
    <row r="327" spans="1:5" x14ac:dyDescent="0.35">
      <c r="A327" s="4" t="s">
        <v>777</v>
      </c>
      <c r="B327" t="s">
        <v>778</v>
      </c>
      <c r="C327" s="1">
        <v>85000</v>
      </c>
      <c r="D327" s="1">
        <v>100000</v>
      </c>
      <c r="E327" s="2">
        <v>0.67</v>
      </c>
    </row>
    <row r="328" spans="1:5" x14ac:dyDescent="0.35">
      <c r="A328" t="s">
        <v>779</v>
      </c>
      <c r="B328" t="s">
        <v>780</v>
      </c>
      <c r="C328" s="1">
        <v>85000</v>
      </c>
      <c r="D328" s="1">
        <v>100000</v>
      </c>
      <c r="E328" s="2">
        <v>0.67</v>
      </c>
    </row>
    <row r="329" spans="1:5" x14ac:dyDescent="0.35">
      <c r="A329" t="s">
        <v>781</v>
      </c>
      <c r="B329" t="s">
        <v>782</v>
      </c>
      <c r="C329" s="1">
        <v>85000</v>
      </c>
      <c r="D329" s="1">
        <v>100000</v>
      </c>
      <c r="E329" s="2">
        <v>0.67</v>
      </c>
    </row>
    <row r="330" spans="1:5" x14ac:dyDescent="0.35">
      <c r="A330" t="s">
        <v>783</v>
      </c>
      <c r="B330" t="s">
        <v>784</v>
      </c>
      <c r="C330" s="1">
        <v>85000</v>
      </c>
      <c r="D330" s="1">
        <v>100000</v>
      </c>
      <c r="E330" s="2">
        <v>0.67</v>
      </c>
    </row>
    <row r="331" spans="1:5" x14ac:dyDescent="0.35">
      <c r="A331" t="s">
        <v>785</v>
      </c>
      <c r="B331" t="s">
        <v>786</v>
      </c>
      <c r="C331" s="1">
        <v>85000</v>
      </c>
      <c r="D331" s="1">
        <v>100000</v>
      </c>
      <c r="E331" s="2">
        <v>0.67</v>
      </c>
    </row>
    <row r="332" spans="1:5" x14ac:dyDescent="0.35">
      <c r="A332" t="s">
        <v>787</v>
      </c>
      <c r="B332" t="s">
        <v>788</v>
      </c>
      <c r="C332" s="1">
        <v>85000</v>
      </c>
      <c r="D332" s="1">
        <v>100000</v>
      </c>
      <c r="E332" s="2">
        <v>0.67</v>
      </c>
    </row>
    <row r="333" spans="1:5" x14ac:dyDescent="0.35">
      <c r="A333" t="s">
        <v>789</v>
      </c>
      <c r="B333" t="s">
        <v>790</v>
      </c>
      <c r="C333" s="1">
        <v>85000</v>
      </c>
      <c r="D333" s="1">
        <v>100000</v>
      </c>
      <c r="E333" s="2">
        <v>0.67</v>
      </c>
    </row>
    <row r="334" spans="1:5" x14ac:dyDescent="0.35">
      <c r="A334" t="s">
        <v>791</v>
      </c>
      <c r="B334" t="s">
        <v>792</v>
      </c>
      <c r="C334" s="1">
        <v>85000</v>
      </c>
      <c r="D334" s="1">
        <v>100000</v>
      </c>
      <c r="E334" s="2">
        <v>0.67</v>
      </c>
    </row>
    <row r="335" spans="1:5" x14ac:dyDescent="0.35">
      <c r="A335" t="s">
        <v>793</v>
      </c>
      <c r="B335" t="s">
        <v>794</v>
      </c>
      <c r="C335" s="1">
        <v>85000</v>
      </c>
      <c r="D335" s="1">
        <v>100000</v>
      </c>
      <c r="E335" s="2">
        <v>0.67</v>
      </c>
    </row>
    <row r="336" spans="1:5" x14ac:dyDescent="0.35">
      <c r="A336" t="s">
        <v>795</v>
      </c>
      <c r="B336" t="s">
        <v>796</v>
      </c>
      <c r="C336" s="1">
        <v>85000</v>
      </c>
      <c r="D336" s="1">
        <v>100000</v>
      </c>
      <c r="E336" s="2">
        <v>0.67</v>
      </c>
    </row>
    <row r="337" spans="1:5" x14ac:dyDescent="0.35">
      <c r="A337" t="s">
        <v>797</v>
      </c>
      <c r="B337" t="s">
        <v>798</v>
      </c>
      <c r="C337" s="1">
        <v>85000</v>
      </c>
      <c r="D337" s="1">
        <v>100000</v>
      </c>
      <c r="E337" s="2">
        <v>0.67</v>
      </c>
    </row>
    <row r="338" spans="1:5" x14ac:dyDescent="0.35">
      <c r="A338" t="s">
        <v>799</v>
      </c>
      <c r="B338" t="s">
        <v>800</v>
      </c>
      <c r="C338" s="1">
        <v>85000</v>
      </c>
      <c r="D338" s="1">
        <v>100000</v>
      </c>
      <c r="E338" s="2">
        <v>0.67</v>
      </c>
    </row>
    <row r="339" spans="1:5" x14ac:dyDescent="0.35">
      <c r="A339" t="s">
        <v>801</v>
      </c>
      <c r="B339" t="s">
        <v>802</v>
      </c>
      <c r="C339" s="1">
        <v>85000</v>
      </c>
      <c r="D339" s="1">
        <v>100000</v>
      </c>
      <c r="E339" s="2">
        <v>0.67</v>
      </c>
    </row>
    <row r="340" spans="1:5" x14ac:dyDescent="0.35">
      <c r="A340" t="s">
        <v>803</v>
      </c>
      <c r="B340" t="s">
        <v>804</v>
      </c>
      <c r="C340" s="1">
        <v>85000</v>
      </c>
      <c r="D340" s="1">
        <v>100000</v>
      </c>
      <c r="E340" s="2">
        <v>0.67</v>
      </c>
    </row>
    <row r="341" spans="1:5" x14ac:dyDescent="0.35">
      <c r="A341" t="s">
        <v>805</v>
      </c>
      <c r="B341" t="s">
        <v>806</v>
      </c>
      <c r="C341" s="1">
        <v>85000</v>
      </c>
      <c r="D341" s="1">
        <v>100000</v>
      </c>
      <c r="E341" s="2">
        <v>0.67</v>
      </c>
    </row>
    <row r="342" spans="1:5" x14ac:dyDescent="0.35">
      <c r="A342" t="s">
        <v>807</v>
      </c>
      <c r="B342" t="s">
        <v>808</v>
      </c>
      <c r="C342" s="1">
        <v>85000</v>
      </c>
      <c r="D342" s="1">
        <v>100000</v>
      </c>
      <c r="E342" s="2">
        <v>0.67</v>
      </c>
    </row>
    <row r="343" spans="1:5" x14ac:dyDescent="0.35">
      <c r="A343" t="s">
        <v>809</v>
      </c>
      <c r="B343" t="s">
        <v>810</v>
      </c>
      <c r="C343" s="1">
        <v>85000</v>
      </c>
      <c r="D343" s="1">
        <v>100000</v>
      </c>
      <c r="E343" s="2">
        <v>0.67</v>
      </c>
    </row>
    <row r="344" spans="1:5" x14ac:dyDescent="0.35">
      <c r="A344" t="s">
        <v>811</v>
      </c>
      <c r="B344" t="s">
        <v>812</v>
      </c>
      <c r="C344" s="1">
        <v>85000</v>
      </c>
      <c r="D344" s="1">
        <v>100000</v>
      </c>
      <c r="E344" s="2">
        <v>0.67</v>
      </c>
    </row>
    <row r="345" spans="1:5" x14ac:dyDescent="0.35">
      <c r="A345" t="s">
        <v>813</v>
      </c>
      <c r="B345" t="s">
        <v>814</v>
      </c>
      <c r="C345" s="1">
        <v>85000</v>
      </c>
      <c r="D345" s="1">
        <v>100000</v>
      </c>
      <c r="E345" s="2">
        <v>0.67</v>
      </c>
    </row>
    <row r="346" spans="1:5" x14ac:dyDescent="0.35">
      <c r="A346" t="s">
        <v>815</v>
      </c>
      <c r="B346" t="s">
        <v>816</v>
      </c>
      <c r="C346" s="1">
        <v>85000</v>
      </c>
      <c r="D346" s="1">
        <v>100000</v>
      </c>
      <c r="E346" s="2">
        <v>0.67</v>
      </c>
    </row>
    <row r="347" spans="1:5" x14ac:dyDescent="0.35">
      <c r="A347" t="s">
        <v>817</v>
      </c>
      <c r="B347" t="s">
        <v>818</v>
      </c>
      <c r="C347" s="1">
        <v>85000</v>
      </c>
      <c r="D347" s="1">
        <v>100000</v>
      </c>
      <c r="E347" s="2">
        <v>0.67</v>
      </c>
    </row>
    <row r="348" spans="1:5" x14ac:dyDescent="0.35">
      <c r="A348" t="s">
        <v>819</v>
      </c>
      <c r="B348" t="s">
        <v>820</v>
      </c>
      <c r="C348" s="1">
        <v>85000</v>
      </c>
      <c r="D348" s="1">
        <v>100000</v>
      </c>
      <c r="E348" s="2">
        <v>0.67</v>
      </c>
    </row>
    <row r="349" spans="1:5" x14ac:dyDescent="0.35">
      <c r="A349" t="s">
        <v>821</v>
      </c>
      <c r="B349" t="s">
        <v>822</v>
      </c>
      <c r="C349" s="1">
        <v>85000</v>
      </c>
      <c r="D349" s="1">
        <v>100000</v>
      </c>
      <c r="E349" s="2">
        <v>0.67</v>
      </c>
    </row>
    <row r="350" spans="1:5" x14ac:dyDescent="0.35">
      <c r="A350" t="s">
        <v>823</v>
      </c>
      <c r="B350" t="s">
        <v>824</v>
      </c>
      <c r="C350" s="1">
        <v>85000</v>
      </c>
      <c r="D350" s="1">
        <v>100000</v>
      </c>
      <c r="E350" s="2">
        <v>0.67</v>
      </c>
    </row>
    <row r="351" spans="1:5" x14ac:dyDescent="0.35">
      <c r="A351" t="s">
        <v>825</v>
      </c>
      <c r="B351" t="s">
        <v>826</v>
      </c>
      <c r="C351" s="1">
        <v>85000</v>
      </c>
      <c r="D351" s="1">
        <v>100000</v>
      </c>
      <c r="E351" s="2">
        <v>0.67</v>
      </c>
    </row>
    <row r="352" spans="1:5" x14ac:dyDescent="0.35">
      <c r="A352" t="s">
        <v>827</v>
      </c>
      <c r="B352" t="s">
        <v>828</v>
      </c>
      <c r="C352" s="1">
        <v>85000</v>
      </c>
      <c r="D352" s="1">
        <v>100000</v>
      </c>
      <c r="E352" s="2">
        <v>0.67</v>
      </c>
    </row>
    <row r="353" spans="1:5" x14ac:dyDescent="0.35">
      <c r="A353" t="s">
        <v>829</v>
      </c>
      <c r="B353" t="s">
        <v>830</v>
      </c>
      <c r="C353" s="1">
        <v>85000</v>
      </c>
      <c r="D353" s="1">
        <v>100000</v>
      </c>
      <c r="E353" s="2">
        <v>0.67</v>
      </c>
    </row>
    <row r="354" spans="1:5" x14ac:dyDescent="0.35">
      <c r="A354" t="s">
        <v>831</v>
      </c>
      <c r="B354" t="s">
        <v>832</v>
      </c>
      <c r="C354" s="1">
        <v>85000</v>
      </c>
      <c r="D354" s="1">
        <v>100000</v>
      </c>
      <c r="E354" s="2">
        <v>0.67</v>
      </c>
    </row>
    <row r="355" spans="1:5" x14ac:dyDescent="0.35">
      <c r="A355" t="s">
        <v>833</v>
      </c>
      <c r="B355" t="s">
        <v>834</v>
      </c>
      <c r="C355" s="1">
        <v>85000</v>
      </c>
      <c r="D355" s="1">
        <v>100000</v>
      </c>
      <c r="E355" s="2">
        <v>0.67</v>
      </c>
    </row>
    <row r="356" spans="1:5" x14ac:dyDescent="0.35">
      <c r="A356" t="s">
        <v>835</v>
      </c>
      <c r="B356" t="s">
        <v>836</v>
      </c>
      <c r="C356" s="1">
        <v>85000</v>
      </c>
      <c r="D356" s="1">
        <v>100000</v>
      </c>
      <c r="E356" s="2">
        <v>0.67</v>
      </c>
    </row>
    <row r="357" spans="1:5" x14ac:dyDescent="0.35">
      <c r="A357" t="s">
        <v>837</v>
      </c>
      <c r="B357" t="s">
        <v>838</v>
      </c>
      <c r="C357" s="1">
        <v>85000</v>
      </c>
      <c r="D357" s="1">
        <v>100000</v>
      </c>
      <c r="E357" s="2">
        <v>0.67</v>
      </c>
    </row>
    <row r="358" spans="1:5" x14ac:dyDescent="0.35">
      <c r="A358" t="s">
        <v>839</v>
      </c>
      <c r="B358" t="s">
        <v>840</v>
      </c>
      <c r="C358" s="1">
        <v>85000</v>
      </c>
      <c r="D358" s="1">
        <v>100000</v>
      </c>
      <c r="E358" s="2">
        <v>0.67</v>
      </c>
    </row>
    <row r="359" spans="1:5" x14ac:dyDescent="0.35">
      <c r="A359" t="s">
        <v>841</v>
      </c>
      <c r="B359" t="s">
        <v>842</v>
      </c>
      <c r="C359" s="1">
        <v>85000</v>
      </c>
      <c r="D359" s="1">
        <v>100000</v>
      </c>
      <c r="E359" s="2">
        <v>0.67</v>
      </c>
    </row>
    <row r="360" spans="1:5" x14ac:dyDescent="0.35">
      <c r="A360" t="s">
        <v>843</v>
      </c>
      <c r="B360" t="s">
        <v>844</v>
      </c>
      <c r="C360" s="1">
        <v>85000</v>
      </c>
      <c r="D360" s="1">
        <v>100000</v>
      </c>
      <c r="E360" s="2">
        <v>0.67</v>
      </c>
    </row>
    <row r="361" spans="1:5" x14ac:dyDescent="0.35">
      <c r="A361" t="s">
        <v>845</v>
      </c>
      <c r="B361" t="s">
        <v>846</v>
      </c>
      <c r="C361" s="1">
        <v>85000</v>
      </c>
      <c r="D361" s="1">
        <v>100000</v>
      </c>
      <c r="E361" s="2">
        <v>0.67</v>
      </c>
    </row>
    <row r="362" spans="1:5" x14ac:dyDescent="0.35">
      <c r="A362" t="s">
        <v>847</v>
      </c>
      <c r="B362" t="s">
        <v>848</v>
      </c>
      <c r="C362" s="1">
        <v>85000</v>
      </c>
      <c r="D362" s="1">
        <v>100000</v>
      </c>
      <c r="E362" s="2">
        <v>0.67</v>
      </c>
    </row>
    <row r="363" spans="1:5" x14ac:dyDescent="0.35">
      <c r="A363" t="s">
        <v>849</v>
      </c>
      <c r="B363" t="s">
        <v>850</v>
      </c>
      <c r="C363" s="1">
        <v>85000</v>
      </c>
      <c r="D363" s="1">
        <v>100000</v>
      </c>
      <c r="E363" s="2">
        <v>0.67</v>
      </c>
    </row>
    <row r="364" spans="1:5" x14ac:dyDescent="0.35">
      <c r="A364" t="s">
        <v>851</v>
      </c>
      <c r="B364" t="s">
        <v>852</v>
      </c>
      <c r="C364" s="1">
        <v>85000</v>
      </c>
      <c r="D364" s="1">
        <v>100000</v>
      </c>
      <c r="E364" s="2">
        <v>0.67</v>
      </c>
    </row>
    <row r="365" spans="1:5" x14ac:dyDescent="0.35">
      <c r="A365" t="s">
        <v>853</v>
      </c>
      <c r="B365" t="s">
        <v>854</v>
      </c>
      <c r="C365" s="1">
        <v>85000</v>
      </c>
      <c r="D365" s="1">
        <v>100000</v>
      </c>
      <c r="E365" s="2">
        <v>0.67</v>
      </c>
    </row>
    <row r="366" spans="1:5" x14ac:dyDescent="0.35">
      <c r="A366" t="s">
        <v>855</v>
      </c>
      <c r="B366" t="s">
        <v>856</v>
      </c>
      <c r="C366" s="1">
        <v>85000</v>
      </c>
      <c r="D366" s="1">
        <v>100000</v>
      </c>
      <c r="E366" s="2">
        <v>0.67</v>
      </c>
    </row>
    <row r="367" spans="1:5" x14ac:dyDescent="0.35">
      <c r="A367" t="s">
        <v>857</v>
      </c>
      <c r="B367" t="s">
        <v>858</v>
      </c>
      <c r="C367" s="1">
        <v>85000</v>
      </c>
      <c r="D367" s="1">
        <v>100000</v>
      </c>
      <c r="E367" s="2">
        <v>0.67</v>
      </c>
    </row>
    <row r="368" spans="1:5" x14ac:dyDescent="0.35">
      <c r="A368" t="s">
        <v>859</v>
      </c>
      <c r="B368" t="s">
        <v>860</v>
      </c>
      <c r="C368" s="1">
        <v>85000</v>
      </c>
      <c r="D368" s="1">
        <v>100000</v>
      </c>
      <c r="E368" s="2">
        <v>0.67</v>
      </c>
    </row>
    <row r="369" spans="1:5" x14ac:dyDescent="0.35">
      <c r="A369" t="s">
        <v>861</v>
      </c>
      <c r="B369" t="s">
        <v>862</v>
      </c>
      <c r="C369" s="1">
        <v>85000</v>
      </c>
      <c r="D369" s="1">
        <v>100000</v>
      </c>
      <c r="E369" s="2">
        <v>0.67</v>
      </c>
    </row>
    <row r="370" spans="1:5" x14ac:dyDescent="0.35">
      <c r="A370" t="s">
        <v>863</v>
      </c>
      <c r="B370" t="s">
        <v>864</v>
      </c>
      <c r="C370" s="1">
        <v>85000</v>
      </c>
      <c r="D370" s="1">
        <v>100000</v>
      </c>
      <c r="E370" s="2">
        <v>0.67</v>
      </c>
    </row>
    <row r="371" spans="1:5" x14ac:dyDescent="0.35">
      <c r="A371" t="s">
        <v>865</v>
      </c>
      <c r="B371" t="s">
        <v>866</v>
      </c>
      <c r="C371" s="1">
        <v>85000</v>
      </c>
      <c r="D371" s="1">
        <v>100000</v>
      </c>
      <c r="E371" s="2">
        <v>0.67</v>
      </c>
    </row>
    <row r="372" spans="1:5" x14ac:dyDescent="0.35">
      <c r="A372" t="s">
        <v>867</v>
      </c>
      <c r="B372" t="s">
        <v>868</v>
      </c>
      <c r="C372" s="1">
        <v>85000</v>
      </c>
      <c r="D372" s="1">
        <v>100000</v>
      </c>
      <c r="E372" s="2">
        <v>0.67</v>
      </c>
    </row>
    <row r="373" spans="1:5" x14ac:dyDescent="0.35">
      <c r="A373" t="s">
        <v>869</v>
      </c>
      <c r="B373" t="s">
        <v>870</v>
      </c>
      <c r="C373" s="1">
        <v>85000</v>
      </c>
      <c r="D373" s="1">
        <v>100000</v>
      </c>
      <c r="E373" s="2">
        <v>0.67</v>
      </c>
    </row>
    <row r="374" spans="1:5" x14ac:dyDescent="0.35">
      <c r="A374" t="s">
        <v>871</v>
      </c>
      <c r="B374" t="s">
        <v>872</v>
      </c>
      <c r="C374" s="1">
        <v>85000</v>
      </c>
      <c r="D374" s="1">
        <v>100000</v>
      </c>
      <c r="E374" s="2">
        <v>0.67</v>
      </c>
    </row>
    <row r="375" spans="1:5" x14ac:dyDescent="0.35">
      <c r="A375" t="s">
        <v>873</v>
      </c>
      <c r="B375" t="s">
        <v>874</v>
      </c>
      <c r="C375" s="1">
        <v>85000</v>
      </c>
      <c r="D375" s="1">
        <v>100000</v>
      </c>
      <c r="E375" s="2">
        <v>0.67</v>
      </c>
    </row>
    <row r="376" spans="1:5" x14ac:dyDescent="0.35">
      <c r="A376" t="s">
        <v>875</v>
      </c>
      <c r="B376" t="s">
        <v>876</v>
      </c>
      <c r="C376" s="1">
        <v>85000</v>
      </c>
      <c r="D376" s="1">
        <v>100000</v>
      </c>
      <c r="E376" s="2">
        <v>0.67</v>
      </c>
    </row>
    <row r="377" spans="1:5" x14ac:dyDescent="0.35">
      <c r="A377" t="s">
        <v>877</v>
      </c>
      <c r="B377" t="s">
        <v>878</v>
      </c>
      <c r="C377" s="1">
        <v>85000</v>
      </c>
      <c r="D377" s="1">
        <v>100000</v>
      </c>
      <c r="E377" s="2">
        <v>0.67</v>
      </c>
    </row>
    <row r="378" spans="1:5" x14ac:dyDescent="0.35">
      <c r="A378" t="s">
        <v>879</v>
      </c>
      <c r="B378" t="s">
        <v>880</v>
      </c>
      <c r="C378" s="1">
        <v>85000</v>
      </c>
      <c r="D378" s="1">
        <v>100000</v>
      </c>
      <c r="E378" s="2">
        <v>0.67</v>
      </c>
    </row>
    <row r="379" spans="1:5" x14ac:dyDescent="0.35">
      <c r="A379" t="s">
        <v>881</v>
      </c>
      <c r="B379" t="s">
        <v>882</v>
      </c>
      <c r="C379" s="1">
        <v>85000</v>
      </c>
      <c r="D379" s="1">
        <v>100000</v>
      </c>
      <c r="E379" s="2">
        <v>0.67</v>
      </c>
    </row>
    <row r="380" spans="1:5" x14ac:dyDescent="0.35">
      <c r="A380" t="s">
        <v>883</v>
      </c>
      <c r="B380" t="s">
        <v>884</v>
      </c>
      <c r="C380" s="1">
        <v>85000</v>
      </c>
      <c r="D380" s="1">
        <v>100000</v>
      </c>
      <c r="E380" s="2">
        <v>0.67</v>
      </c>
    </row>
    <row r="381" spans="1:5" x14ac:dyDescent="0.35">
      <c r="A381" t="s">
        <v>885</v>
      </c>
      <c r="B381" t="s">
        <v>886</v>
      </c>
      <c r="C381" s="1">
        <v>85000</v>
      </c>
      <c r="D381" s="1">
        <v>100000</v>
      </c>
      <c r="E381" s="2">
        <v>0.67</v>
      </c>
    </row>
    <row r="382" spans="1:5" x14ac:dyDescent="0.35">
      <c r="A382" t="s">
        <v>887</v>
      </c>
      <c r="B382" t="s">
        <v>888</v>
      </c>
      <c r="C382" s="1">
        <v>85000</v>
      </c>
      <c r="D382" s="1">
        <v>100000</v>
      </c>
      <c r="E382" s="2">
        <v>0.67</v>
      </c>
    </row>
    <row r="383" spans="1:5" x14ac:dyDescent="0.35">
      <c r="A383" t="s">
        <v>889</v>
      </c>
      <c r="B383" t="s">
        <v>890</v>
      </c>
      <c r="C383" s="1">
        <v>85000</v>
      </c>
      <c r="D383" s="1">
        <v>100000</v>
      </c>
      <c r="E383" s="2">
        <v>0.67</v>
      </c>
    </row>
    <row r="384" spans="1:5" x14ac:dyDescent="0.35">
      <c r="A384" t="s">
        <v>891</v>
      </c>
      <c r="B384" t="s">
        <v>892</v>
      </c>
      <c r="C384" s="1">
        <v>85000</v>
      </c>
      <c r="D384" s="1">
        <v>100000</v>
      </c>
      <c r="E384" s="2">
        <v>0.67</v>
      </c>
    </row>
    <row r="385" spans="1:5" x14ac:dyDescent="0.35">
      <c r="A385" t="s">
        <v>893</v>
      </c>
      <c r="B385" t="s">
        <v>894</v>
      </c>
      <c r="C385" s="1">
        <v>85000</v>
      </c>
      <c r="D385" s="1">
        <v>100000</v>
      </c>
      <c r="E385" s="2">
        <v>0.67</v>
      </c>
    </row>
    <row r="386" spans="1:5" x14ac:dyDescent="0.35">
      <c r="A386" t="s">
        <v>895</v>
      </c>
      <c r="B386" t="s">
        <v>896</v>
      </c>
      <c r="C386" s="1">
        <v>85000</v>
      </c>
      <c r="D386" s="1">
        <v>100000</v>
      </c>
      <c r="E386" s="2">
        <v>0.67</v>
      </c>
    </row>
    <row r="387" spans="1:5" x14ac:dyDescent="0.35">
      <c r="A387" t="s">
        <v>897</v>
      </c>
      <c r="B387" t="s">
        <v>898</v>
      </c>
      <c r="C387" s="1">
        <v>85000</v>
      </c>
      <c r="D387" s="1">
        <v>100000</v>
      </c>
      <c r="E387" s="2">
        <v>0.67</v>
      </c>
    </row>
    <row r="388" spans="1:5" x14ac:dyDescent="0.35">
      <c r="A388" t="s">
        <v>899</v>
      </c>
      <c r="B388" t="s">
        <v>900</v>
      </c>
      <c r="C388" s="1">
        <v>85000</v>
      </c>
      <c r="D388" s="1">
        <v>100000</v>
      </c>
      <c r="E388" s="2">
        <v>0.67</v>
      </c>
    </row>
    <row r="389" spans="1:5" x14ac:dyDescent="0.35">
      <c r="A389" t="s">
        <v>901</v>
      </c>
      <c r="B389" t="s">
        <v>902</v>
      </c>
      <c r="C389" s="1">
        <v>85000</v>
      </c>
      <c r="D389" s="1">
        <v>100000</v>
      </c>
      <c r="E389" s="2">
        <v>0.67</v>
      </c>
    </row>
    <row r="390" spans="1:5" x14ac:dyDescent="0.35">
      <c r="A390" t="s">
        <v>903</v>
      </c>
      <c r="B390" t="s">
        <v>904</v>
      </c>
      <c r="C390" s="1">
        <v>85000</v>
      </c>
      <c r="D390" s="1">
        <v>100000</v>
      </c>
      <c r="E390" s="2">
        <v>0.67</v>
      </c>
    </row>
    <row r="391" spans="1:5" x14ac:dyDescent="0.35">
      <c r="A391" t="s">
        <v>905</v>
      </c>
      <c r="B391" t="s">
        <v>906</v>
      </c>
      <c r="C391" s="1">
        <v>85000</v>
      </c>
      <c r="D391" s="1">
        <v>100000</v>
      </c>
      <c r="E391" s="2">
        <v>0.67</v>
      </c>
    </row>
    <row r="392" spans="1:5" x14ac:dyDescent="0.35">
      <c r="A392" t="s">
        <v>907</v>
      </c>
      <c r="B392" t="s">
        <v>908</v>
      </c>
      <c r="C392" s="1">
        <v>85000</v>
      </c>
      <c r="D392" s="1">
        <v>100000</v>
      </c>
      <c r="E392" s="2">
        <v>0.67</v>
      </c>
    </row>
    <row r="393" spans="1:5" x14ac:dyDescent="0.35">
      <c r="A393" t="s">
        <v>909</v>
      </c>
      <c r="B393" t="s">
        <v>910</v>
      </c>
      <c r="C393" s="1">
        <v>85000</v>
      </c>
      <c r="D393" s="1">
        <v>100000</v>
      </c>
      <c r="E393" s="2">
        <v>0.67</v>
      </c>
    </row>
    <row r="394" spans="1:5" x14ac:dyDescent="0.35">
      <c r="A394" t="s">
        <v>911</v>
      </c>
      <c r="B394" t="s">
        <v>912</v>
      </c>
      <c r="C394" s="1">
        <v>85000</v>
      </c>
      <c r="D394" s="1">
        <v>100000</v>
      </c>
      <c r="E394" s="2">
        <v>0.67</v>
      </c>
    </row>
    <row r="395" spans="1:5" x14ac:dyDescent="0.35">
      <c r="A395" t="s">
        <v>913</v>
      </c>
      <c r="B395" t="s">
        <v>914</v>
      </c>
      <c r="C395" s="1">
        <v>85000</v>
      </c>
      <c r="D395" s="1">
        <v>100000</v>
      </c>
      <c r="E395" s="2">
        <v>0.67</v>
      </c>
    </row>
    <row r="396" spans="1:5" x14ac:dyDescent="0.35">
      <c r="A396" t="s">
        <v>915</v>
      </c>
      <c r="B396" t="s">
        <v>916</v>
      </c>
      <c r="C396" s="1">
        <v>85000</v>
      </c>
      <c r="D396" s="1">
        <v>100000</v>
      </c>
      <c r="E396" s="2">
        <v>0.67</v>
      </c>
    </row>
    <row r="397" spans="1:5" x14ac:dyDescent="0.35">
      <c r="A397" t="s">
        <v>917</v>
      </c>
      <c r="B397" t="s">
        <v>918</v>
      </c>
      <c r="C397" s="1">
        <v>85000</v>
      </c>
      <c r="D397" s="1">
        <v>100000</v>
      </c>
      <c r="E397" s="2">
        <v>0.67</v>
      </c>
    </row>
    <row r="398" spans="1:5" x14ac:dyDescent="0.35">
      <c r="A398" t="s">
        <v>919</v>
      </c>
      <c r="B398" t="s">
        <v>920</v>
      </c>
      <c r="C398" s="1">
        <v>85000</v>
      </c>
      <c r="D398" s="1">
        <v>100000</v>
      </c>
      <c r="E398" s="2">
        <v>0.67</v>
      </c>
    </row>
    <row r="399" spans="1:5" x14ac:dyDescent="0.35">
      <c r="A399" t="s">
        <v>921</v>
      </c>
      <c r="B399" t="s">
        <v>922</v>
      </c>
      <c r="C399" s="1">
        <v>85000</v>
      </c>
      <c r="D399" s="1">
        <v>100000</v>
      </c>
      <c r="E399" s="2">
        <v>0.67</v>
      </c>
    </row>
    <row r="400" spans="1:5" x14ac:dyDescent="0.35">
      <c r="A400" t="s">
        <v>923</v>
      </c>
      <c r="B400" t="s">
        <v>924</v>
      </c>
      <c r="C400" s="1">
        <v>85000</v>
      </c>
      <c r="D400" s="1">
        <v>100000</v>
      </c>
      <c r="E400" s="2">
        <v>0.67</v>
      </c>
    </row>
    <row r="401" spans="1:5" x14ac:dyDescent="0.35">
      <c r="A401" t="s">
        <v>925</v>
      </c>
      <c r="B401" t="s">
        <v>926</v>
      </c>
      <c r="C401" s="1">
        <v>85000</v>
      </c>
      <c r="D401" s="1">
        <v>100000</v>
      </c>
      <c r="E401" s="2">
        <v>0.67</v>
      </c>
    </row>
    <row r="402" spans="1:5" x14ac:dyDescent="0.35">
      <c r="A402" t="s">
        <v>927</v>
      </c>
      <c r="B402" t="s">
        <v>928</v>
      </c>
      <c r="C402" s="1">
        <v>85000</v>
      </c>
      <c r="D402" s="1">
        <v>100000</v>
      </c>
      <c r="E402" s="2">
        <v>0.67</v>
      </c>
    </row>
    <row r="403" spans="1:5" x14ac:dyDescent="0.35">
      <c r="A403" t="s">
        <v>929</v>
      </c>
      <c r="B403" t="s">
        <v>930</v>
      </c>
      <c r="C403" s="1">
        <v>85000</v>
      </c>
      <c r="D403" s="1">
        <v>100000</v>
      </c>
      <c r="E403" s="2">
        <v>0.67</v>
      </c>
    </row>
    <row r="404" spans="1:5" x14ac:dyDescent="0.35">
      <c r="A404" t="s">
        <v>931</v>
      </c>
      <c r="B404" t="s">
        <v>932</v>
      </c>
      <c r="C404" s="1">
        <v>85000</v>
      </c>
      <c r="D404" s="1">
        <v>100000</v>
      </c>
      <c r="E404" s="2">
        <v>0.67</v>
      </c>
    </row>
    <row r="405" spans="1:5" x14ac:dyDescent="0.35">
      <c r="A405" t="s">
        <v>933</v>
      </c>
      <c r="B405" t="s">
        <v>934</v>
      </c>
      <c r="C405" s="1">
        <v>85000</v>
      </c>
      <c r="D405" s="1">
        <v>100000</v>
      </c>
      <c r="E405" s="2">
        <v>0.67</v>
      </c>
    </row>
    <row r="406" spans="1:5" x14ac:dyDescent="0.35">
      <c r="A406" t="s">
        <v>935</v>
      </c>
      <c r="B406" t="s">
        <v>936</v>
      </c>
      <c r="C406" s="1">
        <v>85000</v>
      </c>
      <c r="D406" s="1">
        <v>100000</v>
      </c>
      <c r="E406" s="2">
        <v>0.67</v>
      </c>
    </row>
    <row r="407" spans="1:5" x14ac:dyDescent="0.35">
      <c r="A407" t="s">
        <v>937</v>
      </c>
      <c r="B407" t="s">
        <v>938</v>
      </c>
      <c r="C407" s="1">
        <v>85000</v>
      </c>
      <c r="D407" s="1">
        <v>100000</v>
      </c>
      <c r="E407" s="2">
        <v>0.67</v>
      </c>
    </row>
    <row r="408" spans="1:5" x14ac:dyDescent="0.35">
      <c r="A408" t="s">
        <v>939</v>
      </c>
      <c r="B408" t="s">
        <v>940</v>
      </c>
      <c r="C408" s="1">
        <v>85000</v>
      </c>
      <c r="D408" s="1">
        <v>100000</v>
      </c>
      <c r="E408" s="2">
        <v>0.67</v>
      </c>
    </row>
    <row r="409" spans="1:5" x14ac:dyDescent="0.35">
      <c r="A409" t="s">
        <v>941</v>
      </c>
      <c r="B409" t="s">
        <v>942</v>
      </c>
      <c r="C409" s="1">
        <v>85000</v>
      </c>
      <c r="D409" s="1">
        <v>100000</v>
      </c>
      <c r="E409" s="2">
        <v>0.67</v>
      </c>
    </row>
    <row r="410" spans="1:5" x14ac:dyDescent="0.35">
      <c r="A410" t="s">
        <v>943</v>
      </c>
      <c r="B410" t="s">
        <v>944</v>
      </c>
      <c r="C410" s="1">
        <v>85000</v>
      </c>
      <c r="D410" s="1">
        <v>100000</v>
      </c>
      <c r="E410" s="2">
        <v>0.67</v>
      </c>
    </row>
    <row r="411" spans="1:5" x14ac:dyDescent="0.35">
      <c r="A411" t="s">
        <v>945</v>
      </c>
      <c r="B411" t="s">
        <v>946</v>
      </c>
      <c r="C411" s="1">
        <v>85000</v>
      </c>
      <c r="D411" s="1">
        <v>100000</v>
      </c>
      <c r="E411" s="2">
        <v>0.67</v>
      </c>
    </row>
    <row r="412" spans="1:5" x14ac:dyDescent="0.35">
      <c r="A412" t="s">
        <v>947</v>
      </c>
      <c r="B412" t="s">
        <v>948</v>
      </c>
      <c r="C412" s="1">
        <v>85000</v>
      </c>
      <c r="D412" s="1">
        <v>100000</v>
      </c>
      <c r="E412" s="2">
        <v>0.67</v>
      </c>
    </row>
    <row r="413" spans="1:5" x14ac:dyDescent="0.35">
      <c r="A413" t="s">
        <v>949</v>
      </c>
      <c r="B413" t="s">
        <v>950</v>
      </c>
      <c r="C413" s="1">
        <v>85000</v>
      </c>
      <c r="D413" s="1">
        <v>100000</v>
      </c>
      <c r="E413" s="2">
        <v>0.67</v>
      </c>
    </row>
    <row r="414" spans="1:5" x14ac:dyDescent="0.35">
      <c r="A414" t="s">
        <v>951</v>
      </c>
      <c r="B414" t="s">
        <v>952</v>
      </c>
      <c r="C414" s="1">
        <v>85000</v>
      </c>
      <c r="D414" s="1">
        <v>100000</v>
      </c>
      <c r="E414" s="2">
        <v>0.67</v>
      </c>
    </row>
    <row r="415" spans="1:5" x14ac:dyDescent="0.35">
      <c r="A415" t="s">
        <v>953</v>
      </c>
      <c r="B415" t="s">
        <v>954</v>
      </c>
      <c r="C415" s="1">
        <v>85000</v>
      </c>
      <c r="D415" s="1">
        <v>100000</v>
      </c>
      <c r="E415" s="2">
        <v>0.67</v>
      </c>
    </row>
    <row r="416" spans="1:5" x14ac:dyDescent="0.35">
      <c r="A416" t="s">
        <v>955</v>
      </c>
      <c r="B416" t="s">
        <v>956</v>
      </c>
      <c r="C416" s="1">
        <v>85000</v>
      </c>
      <c r="D416" s="1">
        <v>100000</v>
      </c>
      <c r="E416" s="2">
        <v>0.67</v>
      </c>
    </row>
    <row r="417" spans="1:5" x14ac:dyDescent="0.35">
      <c r="A417" t="s">
        <v>957</v>
      </c>
      <c r="B417" t="s">
        <v>958</v>
      </c>
      <c r="C417" s="1">
        <v>85000</v>
      </c>
      <c r="D417" s="1">
        <v>100000</v>
      </c>
      <c r="E417" s="2">
        <v>0.67</v>
      </c>
    </row>
    <row r="418" spans="1:5" x14ac:dyDescent="0.35">
      <c r="A418" t="s">
        <v>959</v>
      </c>
      <c r="B418" t="s">
        <v>960</v>
      </c>
      <c r="C418" s="1">
        <v>85000</v>
      </c>
      <c r="D418" s="1">
        <v>100000</v>
      </c>
      <c r="E418" s="2">
        <v>0.67</v>
      </c>
    </row>
    <row r="419" spans="1:5" x14ac:dyDescent="0.35">
      <c r="A419" t="s">
        <v>961</v>
      </c>
      <c r="B419" t="s">
        <v>962</v>
      </c>
      <c r="C419" s="1">
        <v>85000</v>
      </c>
      <c r="D419" s="1">
        <v>100000</v>
      </c>
      <c r="E419" s="2">
        <v>0.67</v>
      </c>
    </row>
    <row r="420" spans="1:5" x14ac:dyDescent="0.35">
      <c r="A420" t="s">
        <v>963</v>
      </c>
      <c r="B420" t="s">
        <v>964</v>
      </c>
      <c r="C420" s="1">
        <v>85000</v>
      </c>
      <c r="D420" s="1">
        <v>100000</v>
      </c>
      <c r="E420" s="2">
        <v>0.67</v>
      </c>
    </row>
    <row r="421" spans="1:5" x14ac:dyDescent="0.35">
      <c r="A421" t="s">
        <v>965</v>
      </c>
      <c r="B421" t="s">
        <v>966</v>
      </c>
      <c r="C421" s="1">
        <v>85000</v>
      </c>
      <c r="D421" s="1">
        <v>100000</v>
      </c>
      <c r="E421" s="2">
        <v>0.67</v>
      </c>
    </row>
    <row r="422" spans="1:5" x14ac:dyDescent="0.35">
      <c r="A422" t="s">
        <v>967</v>
      </c>
      <c r="B422" t="s">
        <v>968</v>
      </c>
      <c r="C422" s="1">
        <v>85000</v>
      </c>
      <c r="D422" s="1">
        <v>100000</v>
      </c>
      <c r="E422" s="2">
        <v>0.67</v>
      </c>
    </row>
    <row r="423" spans="1:5" x14ac:dyDescent="0.35">
      <c r="A423" t="s">
        <v>969</v>
      </c>
      <c r="B423" t="s">
        <v>970</v>
      </c>
      <c r="C423" s="1">
        <v>85000</v>
      </c>
      <c r="D423" s="1">
        <v>100000</v>
      </c>
      <c r="E423" s="2">
        <v>0.67</v>
      </c>
    </row>
    <row r="424" spans="1:5" x14ac:dyDescent="0.35">
      <c r="A424" t="s">
        <v>971</v>
      </c>
      <c r="B424" t="s">
        <v>972</v>
      </c>
      <c r="C424" s="1">
        <v>85000</v>
      </c>
      <c r="D424" s="1">
        <v>100000</v>
      </c>
      <c r="E424" s="2">
        <v>0.67</v>
      </c>
    </row>
    <row r="425" spans="1:5" x14ac:dyDescent="0.35">
      <c r="A425" t="s">
        <v>973</v>
      </c>
      <c r="B425" t="s">
        <v>974</v>
      </c>
      <c r="C425" s="1">
        <v>85000</v>
      </c>
      <c r="D425" s="1">
        <v>100000</v>
      </c>
      <c r="E425" s="2">
        <v>0.67</v>
      </c>
    </row>
    <row r="426" spans="1:5" x14ac:dyDescent="0.35">
      <c r="A426" t="s">
        <v>975</v>
      </c>
      <c r="B426" t="s">
        <v>976</v>
      </c>
      <c r="C426" s="1">
        <v>85000</v>
      </c>
      <c r="D426" s="1">
        <v>100000</v>
      </c>
      <c r="E426" s="2">
        <v>0.67</v>
      </c>
    </row>
    <row r="427" spans="1:5" x14ac:dyDescent="0.35">
      <c r="A427" t="s">
        <v>977</v>
      </c>
      <c r="B427" t="s">
        <v>978</v>
      </c>
      <c r="C427" s="1">
        <v>85000</v>
      </c>
      <c r="D427" s="1">
        <v>100000</v>
      </c>
      <c r="E427" s="2">
        <v>0.67</v>
      </c>
    </row>
    <row r="428" spans="1:5" x14ac:dyDescent="0.35">
      <c r="A428" t="s">
        <v>979</v>
      </c>
      <c r="B428" t="s">
        <v>980</v>
      </c>
      <c r="C428" s="1">
        <v>85000</v>
      </c>
      <c r="D428" s="1">
        <v>100000</v>
      </c>
      <c r="E428" s="2">
        <v>0.67</v>
      </c>
    </row>
    <row r="429" spans="1:5" x14ac:dyDescent="0.35">
      <c r="A429" t="s">
        <v>981</v>
      </c>
      <c r="B429" t="s">
        <v>982</v>
      </c>
      <c r="C429" s="1">
        <v>85000</v>
      </c>
      <c r="D429" s="1">
        <v>100000</v>
      </c>
      <c r="E429" s="2">
        <v>0.67</v>
      </c>
    </row>
    <row r="430" spans="1:5" x14ac:dyDescent="0.35">
      <c r="A430" t="s">
        <v>983</v>
      </c>
      <c r="B430" t="s">
        <v>984</v>
      </c>
      <c r="C430" s="1">
        <v>85000</v>
      </c>
      <c r="D430" s="1">
        <v>100000</v>
      </c>
      <c r="E430" s="2">
        <v>0.67</v>
      </c>
    </row>
    <row r="431" spans="1:5" x14ac:dyDescent="0.35">
      <c r="A431" t="s">
        <v>985</v>
      </c>
      <c r="B431" t="s">
        <v>986</v>
      </c>
      <c r="C431" s="1">
        <v>85000</v>
      </c>
      <c r="D431" s="1">
        <v>100000</v>
      </c>
      <c r="E431" s="2">
        <v>0.67</v>
      </c>
    </row>
    <row r="432" spans="1:5" x14ac:dyDescent="0.35">
      <c r="A432" t="s">
        <v>987</v>
      </c>
      <c r="B432" t="s">
        <v>988</v>
      </c>
      <c r="C432" s="1">
        <v>85000</v>
      </c>
      <c r="D432" s="1">
        <v>100000</v>
      </c>
      <c r="E432" s="2">
        <v>0.67</v>
      </c>
    </row>
    <row r="433" spans="1:5" x14ac:dyDescent="0.35">
      <c r="A433" t="s">
        <v>989</v>
      </c>
      <c r="B433" t="s">
        <v>990</v>
      </c>
      <c r="C433" s="1">
        <v>85000</v>
      </c>
      <c r="D433" s="1">
        <v>100000</v>
      </c>
      <c r="E433" s="2">
        <v>0.67</v>
      </c>
    </row>
    <row r="434" spans="1:5" x14ac:dyDescent="0.35">
      <c r="A434" t="s">
        <v>991</v>
      </c>
      <c r="B434" t="s">
        <v>992</v>
      </c>
      <c r="C434" s="1">
        <v>85000</v>
      </c>
      <c r="D434" s="1">
        <v>100000</v>
      </c>
      <c r="E434" s="2">
        <v>0.67</v>
      </c>
    </row>
    <row r="435" spans="1:5" x14ac:dyDescent="0.35">
      <c r="A435" t="s">
        <v>993</v>
      </c>
      <c r="B435" t="s">
        <v>994</v>
      </c>
      <c r="C435" s="1">
        <v>85000</v>
      </c>
      <c r="D435" s="1">
        <v>100000</v>
      </c>
      <c r="E435" s="2">
        <v>0.67</v>
      </c>
    </row>
    <row r="436" spans="1:5" x14ac:dyDescent="0.35">
      <c r="A436" t="s">
        <v>995</v>
      </c>
      <c r="B436" t="s">
        <v>996</v>
      </c>
      <c r="C436" s="1">
        <v>85000</v>
      </c>
      <c r="D436" s="1">
        <v>100000</v>
      </c>
      <c r="E436" s="2">
        <v>0.67</v>
      </c>
    </row>
    <row r="437" spans="1:5" x14ac:dyDescent="0.35">
      <c r="A437" t="s">
        <v>997</v>
      </c>
      <c r="B437" t="s">
        <v>998</v>
      </c>
      <c r="C437" s="1">
        <v>85000</v>
      </c>
      <c r="D437" s="1">
        <v>100000</v>
      </c>
      <c r="E437" s="2">
        <v>0.67</v>
      </c>
    </row>
    <row r="438" spans="1:5" x14ac:dyDescent="0.35">
      <c r="A438" t="s">
        <v>999</v>
      </c>
      <c r="B438" t="s">
        <v>1000</v>
      </c>
      <c r="C438" s="1">
        <v>85000</v>
      </c>
      <c r="D438" s="1">
        <v>100000</v>
      </c>
      <c r="E438" s="2">
        <v>0.67</v>
      </c>
    </row>
    <row r="439" spans="1:5" x14ac:dyDescent="0.35">
      <c r="A439" t="s">
        <v>1001</v>
      </c>
      <c r="B439" t="s">
        <v>1002</v>
      </c>
      <c r="C439" s="1">
        <v>85000</v>
      </c>
      <c r="D439" s="1">
        <v>100000</v>
      </c>
      <c r="E439" s="2">
        <v>0.67</v>
      </c>
    </row>
    <row r="440" spans="1:5" x14ac:dyDescent="0.35">
      <c r="A440" t="s">
        <v>1003</v>
      </c>
      <c r="B440" t="s">
        <v>1004</v>
      </c>
      <c r="C440" s="1">
        <v>85000</v>
      </c>
      <c r="D440" s="1">
        <v>100000</v>
      </c>
      <c r="E440" s="2">
        <v>0.67</v>
      </c>
    </row>
    <row r="441" spans="1:5" x14ac:dyDescent="0.35">
      <c r="A441" t="s">
        <v>1005</v>
      </c>
      <c r="B441" t="s">
        <v>1006</v>
      </c>
      <c r="C441" s="1">
        <v>85000</v>
      </c>
      <c r="D441" s="1">
        <v>100000</v>
      </c>
      <c r="E441" s="2">
        <v>0.67</v>
      </c>
    </row>
    <row r="442" spans="1:5" x14ac:dyDescent="0.35">
      <c r="A442" t="s">
        <v>1007</v>
      </c>
      <c r="B442" t="s">
        <v>1008</v>
      </c>
      <c r="C442" s="1">
        <v>85000</v>
      </c>
      <c r="D442" s="1">
        <v>100000</v>
      </c>
      <c r="E442" s="2">
        <v>0.67</v>
      </c>
    </row>
    <row r="443" spans="1:5" x14ac:dyDescent="0.35">
      <c r="A443" t="s">
        <v>1009</v>
      </c>
      <c r="B443" t="s">
        <v>1010</v>
      </c>
      <c r="C443" s="1">
        <v>85000</v>
      </c>
      <c r="D443" s="1">
        <v>100000</v>
      </c>
      <c r="E443" s="2">
        <v>0.67</v>
      </c>
    </row>
    <row r="444" spans="1:5" x14ac:dyDescent="0.35">
      <c r="A444" t="s">
        <v>1011</v>
      </c>
      <c r="B444" t="s">
        <v>1012</v>
      </c>
      <c r="C444" s="1">
        <v>85000</v>
      </c>
      <c r="D444" s="1">
        <v>100000</v>
      </c>
      <c r="E444" s="2">
        <v>0.67</v>
      </c>
    </row>
    <row r="445" spans="1:5" x14ac:dyDescent="0.35">
      <c r="A445" t="s">
        <v>1013</v>
      </c>
      <c r="B445" t="s">
        <v>1014</v>
      </c>
      <c r="C445" s="1">
        <v>85000</v>
      </c>
      <c r="D445" s="1">
        <v>100000</v>
      </c>
      <c r="E445" s="2">
        <v>0.67</v>
      </c>
    </row>
    <row r="446" spans="1:5" x14ac:dyDescent="0.35">
      <c r="A446" t="s">
        <v>1015</v>
      </c>
      <c r="B446" t="s">
        <v>1016</v>
      </c>
      <c r="C446" s="1">
        <v>85000</v>
      </c>
      <c r="D446" s="1">
        <v>100000</v>
      </c>
      <c r="E446" s="2">
        <v>0.67</v>
      </c>
    </row>
    <row r="447" spans="1:5" x14ac:dyDescent="0.35">
      <c r="A447" t="s">
        <v>1017</v>
      </c>
      <c r="B447" t="s">
        <v>1018</v>
      </c>
      <c r="C447" s="1">
        <v>85000</v>
      </c>
      <c r="D447" s="1">
        <v>100000</v>
      </c>
      <c r="E447" s="2">
        <v>0.67</v>
      </c>
    </row>
    <row r="448" spans="1:5" x14ac:dyDescent="0.35">
      <c r="A448" t="s">
        <v>1019</v>
      </c>
      <c r="B448" t="s">
        <v>1020</v>
      </c>
      <c r="C448" s="1">
        <v>85000</v>
      </c>
      <c r="D448" s="1">
        <v>100000</v>
      </c>
      <c r="E448" s="2">
        <v>0.67</v>
      </c>
    </row>
    <row r="449" spans="1:5" x14ac:dyDescent="0.35">
      <c r="A449" t="s">
        <v>1021</v>
      </c>
      <c r="B449" t="s">
        <v>1022</v>
      </c>
      <c r="C449" s="1">
        <v>85000</v>
      </c>
      <c r="D449" s="1">
        <v>100000</v>
      </c>
      <c r="E449" s="2">
        <v>0.67</v>
      </c>
    </row>
    <row r="450" spans="1:5" x14ac:dyDescent="0.35">
      <c r="A450" t="s">
        <v>1023</v>
      </c>
      <c r="B450" t="s">
        <v>1024</v>
      </c>
      <c r="C450" s="1">
        <v>85000</v>
      </c>
      <c r="D450" s="1">
        <v>100000</v>
      </c>
      <c r="E450" s="2">
        <v>0.67</v>
      </c>
    </row>
    <row r="451" spans="1:5" x14ac:dyDescent="0.35">
      <c r="A451" t="s">
        <v>1025</v>
      </c>
      <c r="B451" t="s">
        <v>1026</v>
      </c>
      <c r="C451" s="1">
        <v>85000</v>
      </c>
      <c r="D451" s="1">
        <v>100000</v>
      </c>
      <c r="E451" s="2">
        <v>0.67</v>
      </c>
    </row>
    <row r="452" spans="1:5" x14ac:dyDescent="0.35">
      <c r="A452" t="s">
        <v>1027</v>
      </c>
      <c r="B452" t="s">
        <v>1028</v>
      </c>
      <c r="C452" s="1">
        <v>85000</v>
      </c>
      <c r="D452" s="1">
        <v>100000</v>
      </c>
      <c r="E452" s="2">
        <v>0.67</v>
      </c>
    </row>
    <row r="453" spans="1:5" x14ac:dyDescent="0.35">
      <c r="A453" t="s">
        <v>1029</v>
      </c>
      <c r="B453" t="s">
        <v>1030</v>
      </c>
      <c r="C453" s="1">
        <v>85000</v>
      </c>
      <c r="D453" s="1">
        <v>100000</v>
      </c>
      <c r="E453" s="2">
        <v>0.67</v>
      </c>
    </row>
    <row r="454" spans="1:5" x14ac:dyDescent="0.35">
      <c r="A454" t="s">
        <v>1031</v>
      </c>
      <c r="B454" t="s">
        <v>1032</v>
      </c>
      <c r="C454" s="1">
        <v>85000</v>
      </c>
      <c r="D454" s="1">
        <v>100000</v>
      </c>
      <c r="E454" s="2">
        <v>0.67</v>
      </c>
    </row>
    <row r="455" spans="1:5" x14ac:dyDescent="0.35">
      <c r="A455" t="s">
        <v>1033</v>
      </c>
      <c r="B455" t="s">
        <v>1034</v>
      </c>
      <c r="C455" s="1">
        <v>85000</v>
      </c>
      <c r="D455" s="1">
        <v>100000</v>
      </c>
      <c r="E455" s="2">
        <v>0.67</v>
      </c>
    </row>
    <row r="456" spans="1:5" x14ac:dyDescent="0.35">
      <c r="A456" t="s">
        <v>1035</v>
      </c>
      <c r="B456" t="s">
        <v>1036</v>
      </c>
      <c r="C456" s="1">
        <v>85000</v>
      </c>
      <c r="D456" s="1">
        <v>100000</v>
      </c>
      <c r="E456" s="2">
        <v>0.67</v>
      </c>
    </row>
    <row r="457" spans="1:5" x14ac:dyDescent="0.35">
      <c r="A457" t="s">
        <v>1037</v>
      </c>
      <c r="B457" t="s">
        <v>1038</v>
      </c>
      <c r="C457" s="1">
        <v>85000</v>
      </c>
      <c r="D457" s="1">
        <v>100000</v>
      </c>
      <c r="E457" s="2">
        <v>0.67</v>
      </c>
    </row>
    <row r="458" spans="1:5" x14ac:dyDescent="0.35">
      <c r="A458" t="s">
        <v>1039</v>
      </c>
      <c r="B458" t="s">
        <v>1040</v>
      </c>
      <c r="C458" s="1">
        <v>85000</v>
      </c>
      <c r="D458" s="1">
        <v>100000</v>
      </c>
      <c r="E458" s="2">
        <v>0.67</v>
      </c>
    </row>
    <row r="459" spans="1:5" x14ac:dyDescent="0.35">
      <c r="A459" t="s">
        <v>1041</v>
      </c>
      <c r="B459" t="s">
        <v>1042</v>
      </c>
      <c r="C459" s="1">
        <v>85000</v>
      </c>
      <c r="D459" s="1">
        <v>100000</v>
      </c>
      <c r="E459" s="2">
        <v>0.67</v>
      </c>
    </row>
    <row r="460" spans="1:5" x14ac:dyDescent="0.35">
      <c r="A460" t="s">
        <v>1043</v>
      </c>
      <c r="B460" t="s">
        <v>1044</v>
      </c>
      <c r="C460" s="1">
        <v>85000</v>
      </c>
      <c r="D460" s="1">
        <v>100000</v>
      </c>
      <c r="E460" s="2">
        <v>0.67</v>
      </c>
    </row>
    <row r="461" spans="1:5" x14ac:dyDescent="0.35">
      <c r="A461" t="s">
        <v>1045</v>
      </c>
      <c r="B461" t="s">
        <v>1046</v>
      </c>
      <c r="C461" s="1">
        <v>85000</v>
      </c>
      <c r="D461" s="1">
        <v>100000</v>
      </c>
      <c r="E461" s="2">
        <v>0.67</v>
      </c>
    </row>
    <row r="462" spans="1:5" x14ac:dyDescent="0.35">
      <c r="A462" t="s">
        <v>1047</v>
      </c>
      <c r="B462" t="s">
        <v>1048</v>
      </c>
      <c r="C462" s="1">
        <v>85000</v>
      </c>
      <c r="D462" s="1">
        <v>100000</v>
      </c>
      <c r="E462" s="2">
        <v>0.67</v>
      </c>
    </row>
    <row r="463" spans="1:5" x14ac:dyDescent="0.35">
      <c r="A463" t="s">
        <v>1049</v>
      </c>
      <c r="B463" t="s">
        <v>1050</v>
      </c>
      <c r="C463" s="1">
        <v>85000</v>
      </c>
      <c r="D463" s="1">
        <v>100000</v>
      </c>
      <c r="E463" s="2">
        <v>0.67</v>
      </c>
    </row>
    <row r="464" spans="1:5" x14ac:dyDescent="0.35">
      <c r="A464" t="s">
        <v>1051</v>
      </c>
      <c r="B464" t="s">
        <v>1052</v>
      </c>
      <c r="C464" s="1">
        <v>85000</v>
      </c>
      <c r="D464" s="1">
        <v>100000</v>
      </c>
      <c r="E464" s="2">
        <v>0.67</v>
      </c>
    </row>
    <row r="465" spans="1:5" x14ac:dyDescent="0.35">
      <c r="A465" t="s">
        <v>1053</v>
      </c>
      <c r="B465" t="s">
        <v>1054</v>
      </c>
      <c r="C465" s="1">
        <v>85000</v>
      </c>
      <c r="D465" s="1">
        <v>100000</v>
      </c>
      <c r="E465" s="2">
        <v>0.67</v>
      </c>
    </row>
    <row r="466" spans="1:5" x14ac:dyDescent="0.35">
      <c r="A466" t="s">
        <v>1055</v>
      </c>
      <c r="B466" t="s">
        <v>1056</v>
      </c>
      <c r="C466" s="1">
        <v>85000</v>
      </c>
      <c r="D466" s="1">
        <v>100000</v>
      </c>
      <c r="E466" s="2">
        <v>0.67</v>
      </c>
    </row>
    <row r="467" spans="1:5" x14ac:dyDescent="0.35">
      <c r="A467" t="s">
        <v>1057</v>
      </c>
      <c r="B467" t="s">
        <v>1058</v>
      </c>
      <c r="C467" s="1">
        <v>85000</v>
      </c>
      <c r="D467" s="1">
        <v>100000</v>
      </c>
      <c r="E467" s="2">
        <v>0.67</v>
      </c>
    </row>
    <row r="468" spans="1:5" x14ac:dyDescent="0.35">
      <c r="A468" t="s">
        <v>1059</v>
      </c>
      <c r="B468" t="s">
        <v>1060</v>
      </c>
      <c r="C468" s="1">
        <v>85000</v>
      </c>
      <c r="D468" s="1">
        <v>100000</v>
      </c>
      <c r="E468" s="2">
        <v>0.67</v>
      </c>
    </row>
    <row r="469" spans="1:5" x14ac:dyDescent="0.35">
      <c r="A469" t="s">
        <v>1061</v>
      </c>
      <c r="B469" t="s">
        <v>1062</v>
      </c>
      <c r="C469" s="1">
        <v>85000</v>
      </c>
      <c r="D469" s="1">
        <v>100000</v>
      </c>
      <c r="E469" s="2">
        <v>0.67</v>
      </c>
    </row>
    <row r="470" spans="1:5" x14ac:dyDescent="0.35">
      <c r="A470" t="s">
        <v>1063</v>
      </c>
      <c r="B470" t="s">
        <v>1064</v>
      </c>
      <c r="C470" s="1">
        <v>85000</v>
      </c>
      <c r="D470" s="1">
        <v>100000</v>
      </c>
      <c r="E470" s="2">
        <v>0.67</v>
      </c>
    </row>
    <row r="471" spans="1:5" x14ac:dyDescent="0.35">
      <c r="A471" t="s">
        <v>1065</v>
      </c>
      <c r="B471" t="s">
        <v>1066</v>
      </c>
      <c r="C471" s="1">
        <v>85000</v>
      </c>
      <c r="D471" s="1">
        <v>100000</v>
      </c>
      <c r="E471" s="2">
        <v>0.67</v>
      </c>
    </row>
    <row r="472" spans="1:5" x14ac:dyDescent="0.35">
      <c r="A472" t="s">
        <v>1067</v>
      </c>
      <c r="B472" t="s">
        <v>1068</v>
      </c>
      <c r="C472" s="1">
        <v>85000</v>
      </c>
      <c r="D472" s="1">
        <v>100000</v>
      </c>
      <c r="E472" s="2">
        <v>0.67</v>
      </c>
    </row>
    <row r="473" spans="1:5" x14ac:dyDescent="0.35">
      <c r="A473" t="s">
        <v>1069</v>
      </c>
      <c r="B473" t="s">
        <v>1070</v>
      </c>
      <c r="C473" s="1">
        <v>85000</v>
      </c>
      <c r="D473" s="1">
        <v>100000</v>
      </c>
      <c r="E473" s="2">
        <v>0.67</v>
      </c>
    </row>
    <row r="474" spans="1:5" x14ac:dyDescent="0.35">
      <c r="A474" t="s">
        <v>1071</v>
      </c>
      <c r="B474" t="s">
        <v>1072</v>
      </c>
      <c r="C474" s="1">
        <v>85000</v>
      </c>
      <c r="D474" s="1">
        <v>100000</v>
      </c>
      <c r="E474" s="2">
        <v>0.67</v>
      </c>
    </row>
    <row r="475" spans="1:5" x14ac:dyDescent="0.35">
      <c r="A475" t="s">
        <v>1073</v>
      </c>
      <c r="B475" t="s">
        <v>1074</v>
      </c>
      <c r="C475" s="1">
        <v>85000</v>
      </c>
      <c r="D475" s="1">
        <v>100000</v>
      </c>
      <c r="E475" s="2">
        <v>0.67</v>
      </c>
    </row>
    <row r="476" spans="1:5" x14ac:dyDescent="0.35">
      <c r="A476" t="s">
        <v>1075</v>
      </c>
      <c r="B476" t="s">
        <v>1076</v>
      </c>
      <c r="C476" s="1">
        <v>85000</v>
      </c>
      <c r="D476" s="1">
        <v>100000</v>
      </c>
      <c r="E476" s="2">
        <v>0.67</v>
      </c>
    </row>
    <row r="477" spans="1:5" x14ac:dyDescent="0.35">
      <c r="A477" t="s">
        <v>1077</v>
      </c>
      <c r="B477" t="s">
        <v>1078</v>
      </c>
      <c r="C477" s="1">
        <v>85000</v>
      </c>
      <c r="D477" s="1">
        <v>100000</v>
      </c>
      <c r="E477" s="2">
        <v>0.67</v>
      </c>
    </row>
    <row r="478" spans="1:5" x14ac:dyDescent="0.35">
      <c r="A478" t="s">
        <v>1079</v>
      </c>
      <c r="B478" t="s">
        <v>1080</v>
      </c>
      <c r="C478" s="1">
        <v>85000</v>
      </c>
      <c r="D478" s="1">
        <v>100000</v>
      </c>
      <c r="E478" s="2">
        <v>0.67</v>
      </c>
    </row>
    <row r="479" spans="1:5" x14ac:dyDescent="0.35">
      <c r="A479" t="s">
        <v>1081</v>
      </c>
      <c r="B479" t="s">
        <v>1082</v>
      </c>
      <c r="C479" s="1">
        <v>85000</v>
      </c>
      <c r="D479" s="1">
        <v>100000</v>
      </c>
      <c r="E479" s="2">
        <v>0.67</v>
      </c>
    </row>
    <row r="480" spans="1:5" x14ac:dyDescent="0.35">
      <c r="A480" t="s">
        <v>1083</v>
      </c>
      <c r="B480" t="s">
        <v>1084</v>
      </c>
      <c r="C480" s="1">
        <v>85000</v>
      </c>
      <c r="D480" s="1">
        <v>100000</v>
      </c>
      <c r="E480" s="2">
        <v>0.67</v>
      </c>
    </row>
    <row r="481" spans="1:5" x14ac:dyDescent="0.35">
      <c r="A481" t="s">
        <v>1085</v>
      </c>
      <c r="B481" t="s">
        <v>1086</v>
      </c>
      <c r="C481" s="1">
        <v>85000</v>
      </c>
      <c r="D481" s="1">
        <v>100000</v>
      </c>
      <c r="E481" s="2">
        <v>0.67</v>
      </c>
    </row>
    <row r="482" spans="1:5" x14ac:dyDescent="0.35">
      <c r="A482" t="s">
        <v>1087</v>
      </c>
      <c r="B482" t="s">
        <v>1088</v>
      </c>
      <c r="C482" s="1">
        <v>85000</v>
      </c>
      <c r="D482" s="1">
        <v>100000</v>
      </c>
      <c r="E482" s="2">
        <v>0.67</v>
      </c>
    </row>
    <row r="483" spans="1:5" x14ac:dyDescent="0.35">
      <c r="A483" t="s">
        <v>1089</v>
      </c>
      <c r="B483" t="s">
        <v>1090</v>
      </c>
      <c r="C483" s="1">
        <v>85000</v>
      </c>
      <c r="D483" s="1">
        <v>100000</v>
      </c>
      <c r="E483" s="2">
        <v>0.67</v>
      </c>
    </row>
    <row r="484" spans="1:5" x14ac:dyDescent="0.35">
      <c r="A484" t="s">
        <v>1091</v>
      </c>
      <c r="B484" t="s">
        <v>1092</v>
      </c>
      <c r="C484" s="1">
        <v>85000</v>
      </c>
      <c r="D484" s="1">
        <v>100000</v>
      </c>
      <c r="E484" s="2">
        <v>0.67</v>
      </c>
    </row>
    <row r="485" spans="1:5" x14ac:dyDescent="0.35">
      <c r="A485" t="s">
        <v>1093</v>
      </c>
      <c r="B485" t="s">
        <v>1094</v>
      </c>
      <c r="C485" s="1">
        <v>85000</v>
      </c>
      <c r="D485" s="1">
        <v>100000</v>
      </c>
      <c r="E485" s="2">
        <v>0.67</v>
      </c>
    </row>
    <row r="486" spans="1:5" x14ac:dyDescent="0.35">
      <c r="A486" t="s">
        <v>1095</v>
      </c>
      <c r="B486" t="s">
        <v>1096</v>
      </c>
      <c r="C486" s="1">
        <v>85000</v>
      </c>
      <c r="D486" s="1">
        <v>100000</v>
      </c>
      <c r="E486" s="2">
        <v>0.67</v>
      </c>
    </row>
    <row r="487" spans="1:5" x14ac:dyDescent="0.35">
      <c r="A487" t="s">
        <v>1097</v>
      </c>
      <c r="B487" t="s">
        <v>1098</v>
      </c>
      <c r="C487" s="1">
        <v>85000</v>
      </c>
      <c r="D487" s="1">
        <v>100000</v>
      </c>
      <c r="E487" s="2">
        <v>0.67</v>
      </c>
    </row>
    <row r="488" spans="1:5" x14ac:dyDescent="0.35">
      <c r="A488" t="s">
        <v>1099</v>
      </c>
      <c r="B488" t="s">
        <v>1100</v>
      </c>
      <c r="C488" s="1">
        <v>85000</v>
      </c>
      <c r="D488" s="1">
        <v>100000</v>
      </c>
      <c r="E488" s="2">
        <v>0.67</v>
      </c>
    </row>
    <row r="489" spans="1:5" x14ac:dyDescent="0.35">
      <c r="A489" t="s">
        <v>1101</v>
      </c>
      <c r="B489" t="s">
        <v>1102</v>
      </c>
      <c r="C489" s="1">
        <v>85000</v>
      </c>
      <c r="D489" s="1">
        <v>100000</v>
      </c>
      <c r="E489" s="2">
        <v>0.67</v>
      </c>
    </row>
    <row r="490" spans="1:5" x14ac:dyDescent="0.35">
      <c r="A490" t="s">
        <v>1103</v>
      </c>
      <c r="B490" t="s">
        <v>1104</v>
      </c>
      <c r="C490" s="1">
        <v>85000</v>
      </c>
      <c r="D490" s="1">
        <v>100000</v>
      </c>
      <c r="E490" s="2">
        <v>0.67</v>
      </c>
    </row>
    <row r="491" spans="1:5" x14ac:dyDescent="0.35">
      <c r="A491" t="s">
        <v>1105</v>
      </c>
      <c r="B491" t="s">
        <v>1106</v>
      </c>
      <c r="C491" s="1">
        <v>85000</v>
      </c>
      <c r="D491" s="1">
        <v>100000</v>
      </c>
      <c r="E491" s="2">
        <v>0.67</v>
      </c>
    </row>
    <row r="492" spans="1:5" x14ac:dyDescent="0.35">
      <c r="A492" t="s">
        <v>1107</v>
      </c>
      <c r="B492" t="s">
        <v>1108</v>
      </c>
      <c r="C492" s="1">
        <v>85000</v>
      </c>
      <c r="D492" s="1">
        <v>100000</v>
      </c>
      <c r="E492" s="2">
        <v>0.67</v>
      </c>
    </row>
    <row r="493" spans="1:5" x14ac:dyDescent="0.35">
      <c r="A493" t="s">
        <v>1109</v>
      </c>
      <c r="B493" t="s">
        <v>1110</v>
      </c>
      <c r="C493" s="1">
        <v>85000</v>
      </c>
      <c r="D493" s="1">
        <v>100000</v>
      </c>
      <c r="E493" s="2">
        <v>0.67</v>
      </c>
    </row>
    <row r="494" spans="1:5" x14ac:dyDescent="0.35">
      <c r="A494" t="s">
        <v>1111</v>
      </c>
      <c r="B494" t="s">
        <v>1112</v>
      </c>
      <c r="C494" s="1">
        <v>85000</v>
      </c>
      <c r="D494" s="1">
        <v>100000</v>
      </c>
      <c r="E494" s="2">
        <v>0.67</v>
      </c>
    </row>
    <row r="495" spans="1:5" x14ac:dyDescent="0.35">
      <c r="A495" t="s">
        <v>1113</v>
      </c>
      <c r="B495" t="s">
        <v>1114</v>
      </c>
      <c r="C495" s="1">
        <v>85000</v>
      </c>
      <c r="D495" s="1">
        <v>100000</v>
      </c>
      <c r="E495" s="2">
        <v>0.67</v>
      </c>
    </row>
    <row r="496" spans="1:5" x14ac:dyDescent="0.35">
      <c r="A496" t="s">
        <v>1115</v>
      </c>
      <c r="B496" t="s">
        <v>1116</v>
      </c>
      <c r="C496" s="1">
        <v>85000</v>
      </c>
      <c r="D496" s="1">
        <v>100000</v>
      </c>
      <c r="E496" s="2">
        <v>0.67</v>
      </c>
    </row>
    <row r="497" spans="1:5" x14ac:dyDescent="0.35">
      <c r="A497" t="s">
        <v>1117</v>
      </c>
      <c r="B497" t="s">
        <v>1118</v>
      </c>
      <c r="C497" s="1">
        <v>85000</v>
      </c>
      <c r="D497" s="1">
        <v>100000</v>
      </c>
      <c r="E497" s="2">
        <v>0.67</v>
      </c>
    </row>
    <row r="498" spans="1:5" x14ac:dyDescent="0.35">
      <c r="A498" t="s">
        <v>1119</v>
      </c>
      <c r="B498" t="s">
        <v>1120</v>
      </c>
      <c r="C498" s="1">
        <v>85000</v>
      </c>
      <c r="D498" s="1">
        <v>100000</v>
      </c>
      <c r="E498" s="2">
        <v>0.67</v>
      </c>
    </row>
    <row r="499" spans="1:5" x14ac:dyDescent="0.35">
      <c r="A499" t="s">
        <v>1121</v>
      </c>
      <c r="B499" t="s">
        <v>1122</v>
      </c>
      <c r="C499" s="1">
        <v>85000</v>
      </c>
      <c r="D499" s="1">
        <v>100000</v>
      </c>
      <c r="E499" s="2">
        <v>0.67</v>
      </c>
    </row>
    <row r="500" spans="1:5" x14ac:dyDescent="0.35">
      <c r="A500" t="s">
        <v>1123</v>
      </c>
      <c r="B500" t="s">
        <v>1124</v>
      </c>
      <c r="C500" s="1">
        <v>85000</v>
      </c>
      <c r="D500" s="1">
        <v>100000</v>
      </c>
      <c r="E500" s="2">
        <v>0.67</v>
      </c>
    </row>
    <row r="501" spans="1:5" x14ac:dyDescent="0.35">
      <c r="A501" t="s">
        <v>1125</v>
      </c>
      <c r="B501" t="s">
        <v>1126</v>
      </c>
      <c r="C501" s="1">
        <v>85000</v>
      </c>
      <c r="D501" s="1">
        <v>100000</v>
      </c>
      <c r="E501" s="2">
        <v>0.67</v>
      </c>
    </row>
    <row r="502" spans="1:5" x14ac:dyDescent="0.35">
      <c r="A502" t="s">
        <v>1127</v>
      </c>
      <c r="B502" t="s">
        <v>1128</v>
      </c>
      <c r="C502" s="1">
        <v>85000</v>
      </c>
      <c r="D502" s="1">
        <v>100000</v>
      </c>
      <c r="E502" s="2">
        <v>0.67</v>
      </c>
    </row>
    <row r="503" spans="1:5" x14ac:dyDescent="0.35">
      <c r="A503" t="s">
        <v>1129</v>
      </c>
      <c r="B503" t="s">
        <v>1130</v>
      </c>
      <c r="C503" s="1">
        <v>85000</v>
      </c>
      <c r="D503" s="1">
        <v>100000</v>
      </c>
      <c r="E503" s="2">
        <v>0.67</v>
      </c>
    </row>
    <row r="504" spans="1:5" x14ac:dyDescent="0.35">
      <c r="A504" t="s">
        <v>1131</v>
      </c>
      <c r="B504" t="s">
        <v>1132</v>
      </c>
      <c r="C504" s="1">
        <v>85000</v>
      </c>
      <c r="D504" s="1">
        <v>100000</v>
      </c>
      <c r="E504" s="2">
        <v>0.67</v>
      </c>
    </row>
    <row r="505" spans="1:5" x14ac:dyDescent="0.35">
      <c r="A505" t="s">
        <v>1133</v>
      </c>
      <c r="B505" t="s">
        <v>1134</v>
      </c>
      <c r="C505" s="1">
        <v>85000</v>
      </c>
      <c r="D505" s="1">
        <v>100000</v>
      </c>
      <c r="E505" s="2">
        <v>0.67</v>
      </c>
    </row>
    <row r="506" spans="1:5" x14ac:dyDescent="0.35">
      <c r="A506" t="s">
        <v>1135</v>
      </c>
      <c r="B506" t="s">
        <v>1136</v>
      </c>
      <c r="C506" s="1">
        <v>85000</v>
      </c>
      <c r="D506" s="1">
        <v>100000</v>
      </c>
      <c r="E506" s="2">
        <v>0.67</v>
      </c>
    </row>
    <row r="507" spans="1:5" x14ac:dyDescent="0.35">
      <c r="A507" t="s">
        <v>1137</v>
      </c>
      <c r="B507" t="s">
        <v>1138</v>
      </c>
      <c r="C507" s="1">
        <v>85000</v>
      </c>
      <c r="D507" s="1">
        <v>100000</v>
      </c>
      <c r="E507" s="2">
        <v>0.67</v>
      </c>
    </row>
    <row r="508" spans="1:5" x14ac:dyDescent="0.35">
      <c r="A508" t="s">
        <v>1139</v>
      </c>
      <c r="B508" t="s">
        <v>1140</v>
      </c>
      <c r="C508" s="1">
        <v>85000</v>
      </c>
      <c r="D508" s="1">
        <v>100000</v>
      </c>
      <c r="E508" s="2">
        <v>0.86</v>
      </c>
    </row>
    <row r="509" spans="1:5" x14ac:dyDescent="0.35">
      <c r="A509" t="s">
        <v>1141</v>
      </c>
      <c r="B509" t="s">
        <v>1142</v>
      </c>
      <c r="C509" s="1">
        <v>85000</v>
      </c>
      <c r="D509" s="1">
        <v>100000</v>
      </c>
      <c r="E509" s="2">
        <v>0.86</v>
      </c>
    </row>
    <row r="510" spans="1:5" x14ac:dyDescent="0.35">
      <c r="A510" t="s">
        <v>1143</v>
      </c>
      <c r="B510" t="s">
        <v>1144</v>
      </c>
      <c r="C510" s="1">
        <v>85000</v>
      </c>
      <c r="D510" s="1">
        <v>100000</v>
      </c>
      <c r="E510" s="2">
        <v>0.86</v>
      </c>
    </row>
    <row r="511" spans="1:5" x14ac:dyDescent="0.35">
      <c r="A511" t="s">
        <v>1145</v>
      </c>
      <c r="B511" t="s">
        <v>1146</v>
      </c>
      <c r="C511" s="1">
        <v>85000</v>
      </c>
      <c r="D511" s="1">
        <v>100000</v>
      </c>
      <c r="E511" s="2">
        <v>0.86</v>
      </c>
    </row>
    <row r="512" spans="1:5" x14ac:dyDescent="0.35">
      <c r="A512" t="s">
        <v>1147</v>
      </c>
      <c r="B512" t="s">
        <v>1148</v>
      </c>
      <c r="C512" s="1">
        <v>85000</v>
      </c>
      <c r="D512" s="1">
        <v>100000</v>
      </c>
      <c r="E512" s="2">
        <v>0.86</v>
      </c>
    </row>
    <row r="513" spans="1:5" x14ac:dyDescent="0.35">
      <c r="A513" t="s">
        <v>1149</v>
      </c>
      <c r="B513" t="s">
        <v>1150</v>
      </c>
      <c r="C513" s="1">
        <v>85000</v>
      </c>
      <c r="D513" s="1">
        <v>100000</v>
      </c>
      <c r="E513" s="2">
        <v>0.86</v>
      </c>
    </row>
    <row r="514" spans="1:5" x14ac:dyDescent="0.35">
      <c r="A514" t="s">
        <v>1151</v>
      </c>
      <c r="B514" t="s">
        <v>1152</v>
      </c>
      <c r="C514" s="1">
        <v>85000</v>
      </c>
      <c r="D514" s="1">
        <v>100000</v>
      </c>
      <c r="E514" s="2">
        <v>0.86</v>
      </c>
    </row>
    <row r="515" spans="1:5" x14ac:dyDescent="0.35">
      <c r="A515" t="s">
        <v>1153</v>
      </c>
      <c r="B515" t="s">
        <v>1154</v>
      </c>
      <c r="C515" s="1">
        <v>85000</v>
      </c>
      <c r="D515" s="1">
        <v>100000</v>
      </c>
      <c r="E515" s="2">
        <v>0.86</v>
      </c>
    </row>
    <row r="516" spans="1:5" x14ac:dyDescent="0.35">
      <c r="A516" t="s">
        <v>1155</v>
      </c>
      <c r="B516" t="s">
        <v>1156</v>
      </c>
      <c r="C516" s="1">
        <v>85000</v>
      </c>
      <c r="D516" s="1">
        <v>100000</v>
      </c>
      <c r="E516" s="2">
        <v>0.86</v>
      </c>
    </row>
    <row r="517" spans="1:5" x14ac:dyDescent="0.35">
      <c r="A517" t="s">
        <v>1157</v>
      </c>
      <c r="B517" t="s">
        <v>1158</v>
      </c>
      <c r="C517" s="1">
        <v>85000</v>
      </c>
      <c r="D517" s="1">
        <v>100000</v>
      </c>
      <c r="E517" s="2">
        <v>0.86</v>
      </c>
    </row>
    <row r="518" spans="1:5" x14ac:dyDescent="0.35">
      <c r="A518" t="s">
        <v>1159</v>
      </c>
      <c r="B518" t="s">
        <v>1160</v>
      </c>
      <c r="C518" s="1">
        <v>85000</v>
      </c>
      <c r="D518" s="1">
        <v>100000</v>
      </c>
      <c r="E518" s="2">
        <v>0.86</v>
      </c>
    </row>
    <row r="519" spans="1:5" x14ac:dyDescent="0.35">
      <c r="A519" t="s">
        <v>1161</v>
      </c>
      <c r="B519" t="s">
        <v>1162</v>
      </c>
      <c r="C519" s="1">
        <v>85000</v>
      </c>
      <c r="D519" s="1">
        <v>100000</v>
      </c>
      <c r="E519" s="2">
        <v>0.86</v>
      </c>
    </row>
    <row r="520" spans="1:5" x14ac:dyDescent="0.35">
      <c r="A520" t="s">
        <v>1163</v>
      </c>
      <c r="B520" t="s">
        <v>1164</v>
      </c>
      <c r="C520" s="1">
        <v>85000</v>
      </c>
      <c r="D520" s="1">
        <v>100000</v>
      </c>
      <c r="E520" s="2">
        <v>0.86</v>
      </c>
    </row>
    <row r="521" spans="1:5" x14ac:dyDescent="0.35">
      <c r="A521" t="s">
        <v>1165</v>
      </c>
      <c r="B521" t="s">
        <v>1166</v>
      </c>
      <c r="C521" s="1">
        <v>85000</v>
      </c>
      <c r="D521" s="1">
        <v>100000</v>
      </c>
      <c r="E521" s="2">
        <v>0.86</v>
      </c>
    </row>
    <row r="522" spans="1:5" x14ac:dyDescent="0.35">
      <c r="A522" t="s">
        <v>1167</v>
      </c>
      <c r="B522" t="s">
        <v>1168</v>
      </c>
      <c r="C522" s="1">
        <v>85000</v>
      </c>
      <c r="D522" s="1">
        <v>100000</v>
      </c>
      <c r="E522" s="2">
        <v>0.86</v>
      </c>
    </row>
    <row r="523" spans="1:5" x14ac:dyDescent="0.35">
      <c r="A523" t="s">
        <v>1169</v>
      </c>
      <c r="B523" t="s">
        <v>1170</v>
      </c>
      <c r="C523" s="1">
        <v>85000</v>
      </c>
      <c r="D523" s="1">
        <v>100000</v>
      </c>
      <c r="E523" s="2">
        <v>0.86</v>
      </c>
    </row>
    <row r="524" spans="1:5" x14ac:dyDescent="0.35">
      <c r="A524" t="s">
        <v>1171</v>
      </c>
      <c r="B524" t="s">
        <v>1172</v>
      </c>
      <c r="C524" s="1">
        <v>85000</v>
      </c>
      <c r="D524" s="1">
        <v>100000</v>
      </c>
      <c r="E524" s="2">
        <v>0.86</v>
      </c>
    </row>
    <row r="525" spans="1:5" x14ac:dyDescent="0.35">
      <c r="A525" t="s">
        <v>1173</v>
      </c>
      <c r="B525" t="s">
        <v>1174</v>
      </c>
      <c r="C525" s="1">
        <v>85000</v>
      </c>
      <c r="D525" s="1">
        <v>100000</v>
      </c>
      <c r="E525" s="2">
        <v>0.86</v>
      </c>
    </row>
    <row r="526" spans="1:5" x14ac:dyDescent="0.35">
      <c r="A526" t="s">
        <v>1175</v>
      </c>
      <c r="B526" t="s">
        <v>1176</v>
      </c>
      <c r="C526" s="1">
        <v>85000</v>
      </c>
      <c r="D526" s="1">
        <v>100000</v>
      </c>
      <c r="E526" s="2">
        <v>0.86</v>
      </c>
    </row>
    <row r="527" spans="1:5" x14ac:dyDescent="0.35">
      <c r="A527" t="s">
        <v>1177</v>
      </c>
      <c r="B527" t="s">
        <v>1178</v>
      </c>
      <c r="C527" s="1">
        <v>85000</v>
      </c>
      <c r="D527" s="1">
        <v>100000</v>
      </c>
      <c r="E527" s="2">
        <v>0.86</v>
      </c>
    </row>
    <row r="528" spans="1:5" x14ac:dyDescent="0.35">
      <c r="A528" t="s">
        <v>1179</v>
      </c>
      <c r="B528" t="s">
        <v>1180</v>
      </c>
      <c r="C528" s="1">
        <v>85000</v>
      </c>
      <c r="D528" s="1">
        <v>100000</v>
      </c>
      <c r="E528" s="2">
        <v>0.86</v>
      </c>
    </row>
    <row r="529" spans="1:5" x14ac:dyDescent="0.35">
      <c r="A529" t="s">
        <v>1181</v>
      </c>
      <c r="B529" t="s">
        <v>1182</v>
      </c>
      <c r="C529" s="1">
        <v>85000</v>
      </c>
      <c r="D529" s="1">
        <v>100000</v>
      </c>
      <c r="E529" s="2">
        <v>0.86</v>
      </c>
    </row>
    <row r="530" spans="1:5" x14ac:dyDescent="0.35">
      <c r="A530" t="s">
        <v>1183</v>
      </c>
      <c r="B530" t="s">
        <v>1184</v>
      </c>
      <c r="C530" s="1">
        <v>85000</v>
      </c>
      <c r="D530" s="1">
        <v>100000</v>
      </c>
      <c r="E530" s="2">
        <v>0.86</v>
      </c>
    </row>
    <row r="531" spans="1:5" x14ac:dyDescent="0.35">
      <c r="A531" t="s">
        <v>1185</v>
      </c>
      <c r="B531" t="s">
        <v>1186</v>
      </c>
      <c r="C531" s="1">
        <v>85000</v>
      </c>
      <c r="D531" s="1">
        <v>100000</v>
      </c>
      <c r="E531" s="2">
        <v>0.86</v>
      </c>
    </row>
    <row r="532" spans="1:5" x14ac:dyDescent="0.35">
      <c r="A532" t="s">
        <v>1187</v>
      </c>
      <c r="B532" t="s">
        <v>1188</v>
      </c>
      <c r="C532" s="1">
        <v>85000</v>
      </c>
      <c r="D532" s="1">
        <v>100000</v>
      </c>
      <c r="E532" s="2">
        <v>0.86</v>
      </c>
    </row>
    <row r="533" spans="1:5" x14ac:dyDescent="0.35">
      <c r="A533" t="s">
        <v>1189</v>
      </c>
      <c r="B533" t="s">
        <v>1190</v>
      </c>
      <c r="C533" s="1">
        <v>85000</v>
      </c>
      <c r="D533" s="1">
        <v>100000</v>
      </c>
      <c r="E533" s="2">
        <v>0.86</v>
      </c>
    </row>
    <row r="534" spans="1:5" x14ac:dyDescent="0.35">
      <c r="A534" t="s">
        <v>1191</v>
      </c>
      <c r="B534" t="s">
        <v>1192</v>
      </c>
      <c r="C534" s="1">
        <v>85000</v>
      </c>
      <c r="D534" s="1">
        <v>100000</v>
      </c>
      <c r="E534" s="2">
        <v>0.86</v>
      </c>
    </row>
    <row r="535" spans="1:5" x14ac:dyDescent="0.35">
      <c r="A535" t="s">
        <v>1193</v>
      </c>
      <c r="B535" t="s">
        <v>1194</v>
      </c>
      <c r="C535" s="1">
        <v>85000</v>
      </c>
      <c r="D535" s="1">
        <v>100000</v>
      </c>
      <c r="E535" s="2">
        <v>0.86</v>
      </c>
    </row>
    <row r="536" spans="1:5" x14ac:dyDescent="0.35">
      <c r="A536" t="s">
        <v>1195</v>
      </c>
      <c r="B536" t="s">
        <v>1196</v>
      </c>
      <c r="C536" s="1">
        <v>85000</v>
      </c>
      <c r="D536" s="1">
        <v>100000</v>
      </c>
      <c r="E536" s="2">
        <v>0.86</v>
      </c>
    </row>
    <row r="537" spans="1:5" x14ac:dyDescent="0.35">
      <c r="A537" t="s">
        <v>1197</v>
      </c>
      <c r="B537" t="s">
        <v>1198</v>
      </c>
      <c r="C537" s="1">
        <v>85000</v>
      </c>
      <c r="D537" s="1">
        <v>100000</v>
      </c>
      <c r="E537" s="2">
        <v>0.86</v>
      </c>
    </row>
    <row r="538" spans="1:5" x14ac:dyDescent="0.35">
      <c r="A538" t="s">
        <v>1199</v>
      </c>
      <c r="B538" t="s">
        <v>1200</v>
      </c>
      <c r="C538" s="1">
        <v>85000</v>
      </c>
      <c r="D538" s="1">
        <v>100000</v>
      </c>
      <c r="E538" s="2">
        <v>0.86</v>
      </c>
    </row>
    <row r="539" spans="1:5" x14ac:dyDescent="0.35">
      <c r="A539" t="s">
        <v>1201</v>
      </c>
      <c r="B539" t="s">
        <v>1202</v>
      </c>
      <c r="C539" s="1">
        <v>85000</v>
      </c>
      <c r="D539" s="1">
        <v>100000</v>
      </c>
      <c r="E539" s="2">
        <v>0.86</v>
      </c>
    </row>
    <row r="540" spans="1:5" x14ac:dyDescent="0.35">
      <c r="A540" t="s">
        <v>1203</v>
      </c>
      <c r="B540" t="s">
        <v>1204</v>
      </c>
      <c r="C540" s="1">
        <v>85000</v>
      </c>
      <c r="D540" s="1">
        <v>100000</v>
      </c>
      <c r="E540" s="2">
        <v>0.86</v>
      </c>
    </row>
    <row r="541" spans="1:5" x14ac:dyDescent="0.35">
      <c r="A541" t="s">
        <v>1205</v>
      </c>
      <c r="B541" t="s">
        <v>1206</v>
      </c>
      <c r="C541" s="1">
        <v>85000</v>
      </c>
      <c r="D541" s="1">
        <v>100000</v>
      </c>
      <c r="E541" s="2">
        <v>0.86</v>
      </c>
    </row>
    <row r="542" spans="1:5" x14ac:dyDescent="0.35">
      <c r="A542" t="s">
        <v>1207</v>
      </c>
      <c r="B542" t="s">
        <v>1208</v>
      </c>
      <c r="C542" s="1">
        <v>85000</v>
      </c>
      <c r="D542" s="1">
        <v>100000</v>
      </c>
      <c r="E542" s="2">
        <v>0.86</v>
      </c>
    </row>
    <row r="543" spans="1:5" x14ac:dyDescent="0.35">
      <c r="A543" t="s">
        <v>1209</v>
      </c>
      <c r="B543" t="s">
        <v>1210</v>
      </c>
      <c r="C543" s="1">
        <v>85000</v>
      </c>
      <c r="D543" s="1">
        <v>100000</v>
      </c>
      <c r="E543" s="2">
        <v>0.4</v>
      </c>
    </row>
    <row r="544" spans="1:5" x14ac:dyDescent="0.35">
      <c r="A544" t="s">
        <v>1211</v>
      </c>
      <c r="B544" t="s">
        <v>1212</v>
      </c>
      <c r="C544" s="1">
        <v>85000</v>
      </c>
      <c r="D544" s="1">
        <v>100000</v>
      </c>
      <c r="E544" s="2">
        <v>0.4</v>
      </c>
    </row>
    <row r="545" spans="1:5" x14ac:dyDescent="0.35">
      <c r="A545" t="s">
        <v>1213</v>
      </c>
      <c r="B545" t="s">
        <v>1214</v>
      </c>
      <c r="C545" s="1">
        <v>85000</v>
      </c>
      <c r="D545" s="1">
        <v>100000</v>
      </c>
      <c r="E545" s="2">
        <v>0.4</v>
      </c>
    </row>
    <row r="546" spans="1:5" x14ac:dyDescent="0.35">
      <c r="A546" t="s">
        <v>1215</v>
      </c>
      <c r="B546" t="s">
        <v>1216</v>
      </c>
      <c r="C546" s="1">
        <v>85000</v>
      </c>
      <c r="D546" s="1">
        <v>100000</v>
      </c>
      <c r="E546" s="2">
        <v>0.4</v>
      </c>
    </row>
    <row r="547" spans="1:5" x14ac:dyDescent="0.35">
      <c r="A547" t="s">
        <v>1217</v>
      </c>
      <c r="B547" t="s">
        <v>1218</v>
      </c>
      <c r="C547" s="1">
        <v>85000</v>
      </c>
      <c r="D547" s="1">
        <v>100000</v>
      </c>
      <c r="E547" s="2">
        <v>0.4</v>
      </c>
    </row>
    <row r="548" spans="1:5" x14ac:dyDescent="0.35">
      <c r="A548" t="s">
        <v>1219</v>
      </c>
      <c r="B548" t="s">
        <v>1220</v>
      </c>
      <c r="C548" s="1">
        <v>85000</v>
      </c>
      <c r="D548" s="1">
        <v>100000</v>
      </c>
      <c r="E548" s="2">
        <v>0.4</v>
      </c>
    </row>
    <row r="549" spans="1:5" x14ac:dyDescent="0.35">
      <c r="A549" t="s">
        <v>1221</v>
      </c>
      <c r="B549" t="s">
        <v>1222</v>
      </c>
      <c r="C549" s="1">
        <v>85000</v>
      </c>
      <c r="D549" s="1">
        <v>100000</v>
      </c>
      <c r="E549" s="2">
        <v>0.4</v>
      </c>
    </row>
    <row r="550" spans="1:5" x14ac:dyDescent="0.35">
      <c r="A550" t="s">
        <v>1223</v>
      </c>
      <c r="B550" t="s">
        <v>1224</v>
      </c>
      <c r="C550" s="1">
        <v>85000</v>
      </c>
      <c r="D550" s="1">
        <v>100000</v>
      </c>
      <c r="E550" s="2">
        <v>0.4</v>
      </c>
    </row>
    <row r="551" spans="1:5" x14ac:dyDescent="0.35">
      <c r="A551" t="s">
        <v>1225</v>
      </c>
      <c r="B551" t="s">
        <v>1226</v>
      </c>
      <c r="C551" s="1">
        <v>85000</v>
      </c>
      <c r="D551" s="1">
        <v>100000</v>
      </c>
      <c r="E551" s="2">
        <v>0.4</v>
      </c>
    </row>
    <row r="552" spans="1:5" x14ac:dyDescent="0.35">
      <c r="A552" t="s">
        <v>1227</v>
      </c>
      <c r="B552" t="s">
        <v>1228</v>
      </c>
      <c r="C552" s="1">
        <v>85000</v>
      </c>
      <c r="D552" s="1">
        <v>100000</v>
      </c>
      <c r="E552" s="2">
        <v>0.4</v>
      </c>
    </row>
    <row r="553" spans="1:5" x14ac:dyDescent="0.35">
      <c r="A553" t="s">
        <v>1229</v>
      </c>
      <c r="B553" t="s">
        <v>1230</v>
      </c>
      <c r="C553" s="1">
        <v>85000</v>
      </c>
      <c r="D553" s="1">
        <v>100000</v>
      </c>
      <c r="E553" s="2">
        <v>0.4</v>
      </c>
    </row>
    <row r="554" spans="1:5" x14ac:dyDescent="0.35">
      <c r="A554" t="s">
        <v>1231</v>
      </c>
      <c r="B554" t="s">
        <v>1232</v>
      </c>
      <c r="C554" s="1">
        <v>85000</v>
      </c>
      <c r="D554" s="1">
        <v>100000</v>
      </c>
      <c r="E554" s="2">
        <v>0.4</v>
      </c>
    </row>
    <row r="555" spans="1:5" x14ac:dyDescent="0.35">
      <c r="A555" t="s">
        <v>1233</v>
      </c>
      <c r="B555" t="s">
        <v>1234</v>
      </c>
      <c r="C555" s="1">
        <v>85000</v>
      </c>
      <c r="D555" s="1">
        <v>100000</v>
      </c>
      <c r="E555" s="2">
        <v>0.4</v>
      </c>
    </row>
    <row r="556" spans="1:5" x14ac:dyDescent="0.35">
      <c r="A556" t="s">
        <v>1235</v>
      </c>
      <c r="B556" t="s">
        <v>1236</v>
      </c>
      <c r="C556" s="1">
        <v>85000</v>
      </c>
      <c r="D556" s="1">
        <v>100000</v>
      </c>
      <c r="E556" s="2">
        <v>0.4</v>
      </c>
    </row>
    <row r="557" spans="1:5" x14ac:dyDescent="0.35">
      <c r="A557" t="s">
        <v>1237</v>
      </c>
      <c r="B557" t="s">
        <v>1238</v>
      </c>
      <c r="C557" s="1">
        <v>85000</v>
      </c>
      <c r="D557" s="1">
        <v>100000</v>
      </c>
      <c r="E557" s="2">
        <v>0.4</v>
      </c>
    </row>
    <row r="558" spans="1:5" x14ac:dyDescent="0.35">
      <c r="A558" t="s">
        <v>1239</v>
      </c>
      <c r="B558" t="s">
        <v>1240</v>
      </c>
      <c r="C558" s="1">
        <v>85000</v>
      </c>
      <c r="D558" s="1">
        <v>100000</v>
      </c>
      <c r="E558" s="2">
        <v>0.4</v>
      </c>
    </row>
    <row r="559" spans="1:5" x14ac:dyDescent="0.35">
      <c r="A559" t="s">
        <v>1241</v>
      </c>
      <c r="B559" t="s">
        <v>1242</v>
      </c>
      <c r="C559" s="1">
        <v>85000</v>
      </c>
      <c r="D559" s="1">
        <v>100000</v>
      </c>
      <c r="E559" s="2">
        <v>0.4</v>
      </c>
    </row>
    <row r="560" spans="1:5" x14ac:dyDescent="0.35">
      <c r="A560" t="s">
        <v>1243</v>
      </c>
      <c r="B560" t="s">
        <v>1244</v>
      </c>
      <c r="C560" s="1">
        <v>85000</v>
      </c>
      <c r="D560" s="1">
        <v>100000</v>
      </c>
      <c r="E560" s="2">
        <v>0.4</v>
      </c>
    </row>
    <row r="561" spans="1:5" x14ac:dyDescent="0.35">
      <c r="A561" t="s">
        <v>1245</v>
      </c>
      <c r="B561" t="s">
        <v>1246</v>
      </c>
      <c r="C561" s="1">
        <v>85000</v>
      </c>
      <c r="D561" s="1">
        <v>100000</v>
      </c>
      <c r="E561" s="2">
        <v>0.62</v>
      </c>
    </row>
    <row r="562" spans="1:5" x14ac:dyDescent="0.35">
      <c r="A562" t="s">
        <v>1247</v>
      </c>
      <c r="B562" t="s">
        <v>1248</v>
      </c>
      <c r="C562" s="1">
        <v>85000</v>
      </c>
      <c r="D562" s="1">
        <v>100000</v>
      </c>
      <c r="E562" s="2">
        <v>0.62</v>
      </c>
    </row>
    <row r="563" spans="1:5" x14ac:dyDescent="0.35">
      <c r="A563" t="s">
        <v>1249</v>
      </c>
      <c r="B563" t="s">
        <v>1250</v>
      </c>
      <c r="C563" s="1">
        <v>85000</v>
      </c>
      <c r="D563" s="1">
        <v>100000</v>
      </c>
      <c r="E563" s="2">
        <v>0.62</v>
      </c>
    </row>
    <row r="564" spans="1:5" x14ac:dyDescent="0.35">
      <c r="A564" t="s">
        <v>1251</v>
      </c>
      <c r="B564" t="s">
        <v>1252</v>
      </c>
      <c r="C564" s="1">
        <v>85000</v>
      </c>
      <c r="D564" s="1">
        <v>100000</v>
      </c>
      <c r="E564" s="2">
        <v>0.62</v>
      </c>
    </row>
    <row r="565" spans="1:5" x14ac:dyDescent="0.35">
      <c r="A565" t="s">
        <v>1253</v>
      </c>
      <c r="B565" t="s">
        <v>1254</v>
      </c>
      <c r="C565" s="1">
        <v>85000</v>
      </c>
      <c r="D565" s="1">
        <v>100000</v>
      </c>
      <c r="E565" s="2">
        <v>0.62</v>
      </c>
    </row>
    <row r="566" spans="1:5" x14ac:dyDescent="0.35">
      <c r="A566" t="s">
        <v>1255</v>
      </c>
      <c r="B566" t="s">
        <v>1256</v>
      </c>
      <c r="C566" s="1">
        <v>85000</v>
      </c>
      <c r="D566" s="1">
        <v>100000</v>
      </c>
      <c r="E566" s="2">
        <v>0.62</v>
      </c>
    </row>
    <row r="567" spans="1:5" x14ac:dyDescent="0.35">
      <c r="A567" t="s">
        <v>1257</v>
      </c>
      <c r="B567" t="s">
        <v>1258</v>
      </c>
      <c r="C567" s="1">
        <v>85000</v>
      </c>
      <c r="D567" s="1">
        <v>100000</v>
      </c>
      <c r="E567" s="2">
        <v>0.62</v>
      </c>
    </row>
    <row r="568" spans="1:5" x14ac:dyDescent="0.35">
      <c r="A568" t="s">
        <v>1259</v>
      </c>
      <c r="B568" t="s">
        <v>1260</v>
      </c>
      <c r="C568" s="1">
        <v>85000</v>
      </c>
      <c r="D568" s="1">
        <v>100000</v>
      </c>
      <c r="E568" s="2">
        <v>0.62</v>
      </c>
    </row>
    <row r="569" spans="1:5" x14ac:dyDescent="0.35">
      <c r="A569" t="s">
        <v>1261</v>
      </c>
      <c r="B569" t="s">
        <v>1262</v>
      </c>
      <c r="C569" s="1">
        <v>85000</v>
      </c>
      <c r="D569" s="1">
        <v>100000</v>
      </c>
      <c r="E569" s="2">
        <v>0.62</v>
      </c>
    </row>
    <row r="570" spans="1:5" x14ac:dyDescent="0.35">
      <c r="A570" t="s">
        <v>1263</v>
      </c>
      <c r="B570" t="s">
        <v>1264</v>
      </c>
      <c r="C570" s="1">
        <v>85000</v>
      </c>
      <c r="D570" s="1">
        <v>100000</v>
      </c>
      <c r="E570" s="2">
        <v>0.62</v>
      </c>
    </row>
    <row r="571" spans="1:5" x14ac:dyDescent="0.35">
      <c r="A571" t="s">
        <v>1265</v>
      </c>
      <c r="B571" t="s">
        <v>1266</v>
      </c>
      <c r="C571" s="1">
        <v>85000</v>
      </c>
      <c r="D571" s="1">
        <v>100000</v>
      </c>
      <c r="E571" s="2">
        <v>0.62</v>
      </c>
    </row>
    <row r="572" spans="1:5" x14ac:dyDescent="0.35">
      <c r="A572" t="s">
        <v>1267</v>
      </c>
      <c r="B572" t="s">
        <v>1268</v>
      </c>
      <c r="C572" s="1">
        <v>85000</v>
      </c>
      <c r="D572" s="1">
        <v>100000</v>
      </c>
      <c r="E572" s="2">
        <v>0.62</v>
      </c>
    </row>
    <row r="573" spans="1:5" x14ac:dyDescent="0.35">
      <c r="A573" t="s">
        <v>1269</v>
      </c>
      <c r="B573" t="s">
        <v>1270</v>
      </c>
      <c r="C573" s="1">
        <v>85000</v>
      </c>
      <c r="D573" s="1">
        <v>100000</v>
      </c>
      <c r="E573" s="2">
        <v>0.62</v>
      </c>
    </row>
    <row r="574" spans="1:5" x14ac:dyDescent="0.35">
      <c r="A574" t="s">
        <v>1271</v>
      </c>
      <c r="B574" t="s">
        <v>1272</v>
      </c>
      <c r="C574" s="1">
        <v>85000</v>
      </c>
      <c r="D574" s="1">
        <v>100000</v>
      </c>
      <c r="E574" s="2">
        <v>0.62</v>
      </c>
    </row>
    <row r="575" spans="1:5" x14ac:dyDescent="0.35">
      <c r="A575" t="s">
        <v>1273</v>
      </c>
      <c r="B575" t="s">
        <v>1274</v>
      </c>
      <c r="C575" s="1">
        <v>85000</v>
      </c>
      <c r="D575" s="1">
        <v>100000</v>
      </c>
      <c r="E575" s="2">
        <v>0.62</v>
      </c>
    </row>
    <row r="576" spans="1:5" x14ac:dyDescent="0.35">
      <c r="A576" t="s">
        <v>1275</v>
      </c>
      <c r="B576" t="s">
        <v>1276</v>
      </c>
      <c r="C576" s="1">
        <v>85000</v>
      </c>
      <c r="D576" s="1">
        <v>100000</v>
      </c>
      <c r="E576" s="2">
        <v>0.62</v>
      </c>
    </row>
    <row r="577" spans="1:5" x14ac:dyDescent="0.35">
      <c r="A577" t="s">
        <v>1277</v>
      </c>
      <c r="B577" t="s">
        <v>1278</v>
      </c>
      <c r="C577" s="1">
        <v>85000</v>
      </c>
      <c r="D577" s="1">
        <v>100000</v>
      </c>
      <c r="E577" s="2">
        <v>0.62</v>
      </c>
    </row>
    <row r="578" spans="1:5" x14ac:dyDescent="0.35">
      <c r="A578" t="s">
        <v>1279</v>
      </c>
      <c r="B578" t="s">
        <v>1280</v>
      </c>
      <c r="C578" s="1">
        <v>85000</v>
      </c>
      <c r="D578" s="1">
        <v>100000</v>
      </c>
      <c r="E578" s="2">
        <v>0.62</v>
      </c>
    </row>
    <row r="579" spans="1:5" x14ac:dyDescent="0.35">
      <c r="A579" t="s">
        <v>1281</v>
      </c>
      <c r="B579" t="s">
        <v>1282</v>
      </c>
      <c r="C579" s="1">
        <v>85000</v>
      </c>
      <c r="D579" s="1">
        <v>100000</v>
      </c>
      <c r="E579" s="2">
        <v>0.62</v>
      </c>
    </row>
    <row r="580" spans="1:5" x14ac:dyDescent="0.35">
      <c r="A580" t="s">
        <v>1283</v>
      </c>
      <c r="B580" t="s">
        <v>1284</v>
      </c>
      <c r="C580" s="1">
        <v>85000</v>
      </c>
      <c r="D580" s="1">
        <v>100000</v>
      </c>
      <c r="E580" s="2">
        <v>0.62</v>
      </c>
    </row>
    <row r="581" spans="1:5" x14ac:dyDescent="0.35">
      <c r="A581" t="s">
        <v>1285</v>
      </c>
      <c r="B581" t="s">
        <v>1286</v>
      </c>
      <c r="C581" s="1">
        <v>85000</v>
      </c>
      <c r="D581" s="1">
        <v>100000</v>
      </c>
      <c r="E581" s="2">
        <v>0.62</v>
      </c>
    </row>
    <row r="582" spans="1:5" x14ac:dyDescent="0.35">
      <c r="A582" t="s">
        <v>1287</v>
      </c>
      <c r="B582" t="s">
        <v>1288</v>
      </c>
      <c r="C582" s="1">
        <v>85000</v>
      </c>
      <c r="D582" s="1">
        <v>100000</v>
      </c>
      <c r="E582" s="2">
        <v>0.62</v>
      </c>
    </row>
    <row r="583" spans="1:5" x14ac:dyDescent="0.35">
      <c r="A583" t="s">
        <v>1289</v>
      </c>
      <c r="B583" t="s">
        <v>1290</v>
      </c>
      <c r="C583" s="1">
        <v>85000</v>
      </c>
      <c r="D583" s="1">
        <v>100000</v>
      </c>
      <c r="E583" s="2">
        <v>0.62</v>
      </c>
    </row>
    <row r="584" spans="1:5" x14ac:dyDescent="0.35">
      <c r="A584" t="s">
        <v>1291</v>
      </c>
      <c r="B584" t="s">
        <v>1292</v>
      </c>
      <c r="C584" s="1">
        <v>85000</v>
      </c>
      <c r="D584" s="1">
        <v>100000</v>
      </c>
      <c r="E584" s="2">
        <v>0.62</v>
      </c>
    </row>
    <row r="585" spans="1:5" x14ac:dyDescent="0.35">
      <c r="A585" t="s">
        <v>1293</v>
      </c>
      <c r="B585" t="s">
        <v>1294</v>
      </c>
      <c r="C585" s="1">
        <v>85000</v>
      </c>
      <c r="D585" s="1">
        <v>100000</v>
      </c>
      <c r="E585" s="2">
        <v>0.62</v>
      </c>
    </row>
    <row r="586" spans="1:5" x14ac:dyDescent="0.35">
      <c r="A586" t="s">
        <v>1295</v>
      </c>
      <c r="B586" t="s">
        <v>1296</v>
      </c>
      <c r="C586" s="1">
        <v>85000</v>
      </c>
      <c r="D586" s="1">
        <v>100000</v>
      </c>
      <c r="E586" s="2">
        <v>0.62</v>
      </c>
    </row>
    <row r="587" spans="1:5" x14ac:dyDescent="0.35">
      <c r="A587" t="s">
        <v>1297</v>
      </c>
      <c r="B587" t="s">
        <v>1298</v>
      </c>
      <c r="C587" s="1">
        <v>85000</v>
      </c>
      <c r="D587" s="1">
        <v>100000</v>
      </c>
      <c r="E587" s="2">
        <v>0.62</v>
      </c>
    </row>
    <row r="588" spans="1:5" x14ac:dyDescent="0.35">
      <c r="A588" t="s">
        <v>1299</v>
      </c>
      <c r="B588" t="s">
        <v>1300</v>
      </c>
      <c r="C588" s="1">
        <v>85000</v>
      </c>
      <c r="D588" s="1">
        <v>100000</v>
      </c>
      <c r="E588" s="2">
        <v>0.62</v>
      </c>
    </row>
    <row r="589" spans="1:5" x14ac:dyDescent="0.35">
      <c r="A589" t="s">
        <v>1301</v>
      </c>
      <c r="B589" t="s">
        <v>1302</v>
      </c>
      <c r="C589" s="1">
        <v>85000</v>
      </c>
      <c r="D589" s="1">
        <v>100000</v>
      </c>
      <c r="E589" s="2">
        <v>0.62</v>
      </c>
    </row>
    <row r="590" spans="1:5" x14ac:dyDescent="0.35">
      <c r="A590" t="s">
        <v>1303</v>
      </c>
      <c r="B590" t="s">
        <v>1304</v>
      </c>
      <c r="C590" s="1">
        <v>85000</v>
      </c>
      <c r="D590" s="1">
        <v>100000</v>
      </c>
      <c r="E590" s="2">
        <v>0.62</v>
      </c>
    </row>
    <row r="591" spans="1:5" x14ac:dyDescent="0.35">
      <c r="A591" t="s">
        <v>1305</v>
      </c>
      <c r="B591" t="s">
        <v>1306</v>
      </c>
      <c r="C591" s="1">
        <v>85000</v>
      </c>
      <c r="D591" s="1">
        <v>100000</v>
      </c>
      <c r="E591" s="2">
        <v>0.62</v>
      </c>
    </row>
    <row r="592" spans="1:5" x14ac:dyDescent="0.35">
      <c r="A592" t="s">
        <v>1307</v>
      </c>
      <c r="B592" t="s">
        <v>1308</v>
      </c>
      <c r="C592" s="1">
        <v>85000</v>
      </c>
      <c r="D592" s="1">
        <v>100000</v>
      </c>
      <c r="E592" s="2">
        <v>0.62</v>
      </c>
    </row>
    <row r="593" spans="1:5" x14ac:dyDescent="0.35">
      <c r="A593" t="s">
        <v>1309</v>
      </c>
      <c r="B593" t="s">
        <v>1310</v>
      </c>
      <c r="C593" s="1">
        <v>85000</v>
      </c>
      <c r="D593" s="1">
        <v>100000</v>
      </c>
      <c r="E593" s="2">
        <v>0.62</v>
      </c>
    </row>
    <row r="594" spans="1:5" x14ac:dyDescent="0.35">
      <c r="A594" t="s">
        <v>1311</v>
      </c>
      <c r="B594" t="s">
        <v>1312</v>
      </c>
      <c r="C594" s="1">
        <v>85000</v>
      </c>
      <c r="D594" s="1">
        <v>100000</v>
      </c>
      <c r="E594" s="2">
        <v>0.62</v>
      </c>
    </row>
    <row r="595" spans="1:5" x14ac:dyDescent="0.35">
      <c r="A595" t="s">
        <v>1313</v>
      </c>
      <c r="B595" t="s">
        <v>1314</v>
      </c>
      <c r="C595" s="1">
        <v>85000</v>
      </c>
      <c r="D595" s="1">
        <v>100000</v>
      </c>
      <c r="E595" s="2">
        <v>0.62</v>
      </c>
    </row>
    <row r="596" spans="1:5" x14ac:dyDescent="0.35">
      <c r="A596" t="s">
        <v>1315</v>
      </c>
      <c r="B596" t="s">
        <v>1316</v>
      </c>
      <c r="C596" s="1">
        <v>85000</v>
      </c>
      <c r="D596" s="1">
        <v>100000</v>
      </c>
      <c r="E596" s="2">
        <v>0.62</v>
      </c>
    </row>
    <row r="597" spans="1:5" x14ac:dyDescent="0.35">
      <c r="A597" t="s">
        <v>1317</v>
      </c>
      <c r="B597" t="s">
        <v>1318</v>
      </c>
      <c r="C597" s="1">
        <v>85000</v>
      </c>
      <c r="D597" s="1">
        <v>100000</v>
      </c>
      <c r="E597" s="2">
        <v>0.62</v>
      </c>
    </row>
    <row r="598" spans="1:5" x14ac:dyDescent="0.35">
      <c r="A598" t="s">
        <v>1319</v>
      </c>
      <c r="B598" t="s">
        <v>1320</v>
      </c>
      <c r="C598" s="1">
        <v>85000</v>
      </c>
      <c r="D598" s="1">
        <v>100000</v>
      </c>
      <c r="E598" s="2">
        <v>0.62</v>
      </c>
    </row>
    <row r="599" spans="1:5" x14ac:dyDescent="0.35">
      <c r="A599" t="s">
        <v>1321</v>
      </c>
      <c r="B599" t="s">
        <v>1322</v>
      </c>
      <c r="C599" s="1">
        <v>85000</v>
      </c>
      <c r="D599" s="1">
        <v>100000</v>
      </c>
      <c r="E599" s="2">
        <v>0.62</v>
      </c>
    </row>
    <row r="600" spans="1:5" x14ac:dyDescent="0.35">
      <c r="A600" t="s">
        <v>1323</v>
      </c>
      <c r="B600" t="s">
        <v>1324</v>
      </c>
      <c r="C600" s="1">
        <v>85000</v>
      </c>
      <c r="D600" s="1">
        <v>100000</v>
      </c>
      <c r="E600" s="2">
        <v>0.62</v>
      </c>
    </row>
    <row r="601" spans="1:5" x14ac:dyDescent="0.35">
      <c r="A601" t="s">
        <v>1325</v>
      </c>
      <c r="B601" t="s">
        <v>1326</v>
      </c>
      <c r="C601" s="1">
        <v>85000</v>
      </c>
      <c r="D601" s="1">
        <v>100000</v>
      </c>
      <c r="E601" s="2">
        <v>0.62</v>
      </c>
    </row>
    <row r="602" spans="1:5" x14ac:dyDescent="0.35">
      <c r="A602" t="s">
        <v>1327</v>
      </c>
      <c r="B602" t="s">
        <v>1328</v>
      </c>
      <c r="C602" s="1">
        <v>85000</v>
      </c>
      <c r="D602" s="1">
        <v>100000</v>
      </c>
      <c r="E602" s="2">
        <v>0.62</v>
      </c>
    </row>
    <row r="603" spans="1:5" x14ac:dyDescent="0.35">
      <c r="A603" t="s">
        <v>1329</v>
      </c>
      <c r="B603" t="s">
        <v>1330</v>
      </c>
      <c r="C603" s="1">
        <v>85000</v>
      </c>
      <c r="D603" s="1">
        <v>100000</v>
      </c>
      <c r="E603" s="2">
        <v>0.62</v>
      </c>
    </row>
    <row r="604" spans="1:5" x14ac:dyDescent="0.35">
      <c r="A604" t="s">
        <v>1331</v>
      </c>
      <c r="B604" t="s">
        <v>1332</v>
      </c>
      <c r="C604" s="1">
        <v>85000</v>
      </c>
      <c r="D604" s="1">
        <v>100000</v>
      </c>
      <c r="E604" s="2">
        <v>0.62</v>
      </c>
    </row>
    <row r="605" spans="1:5" x14ac:dyDescent="0.35">
      <c r="A605" t="s">
        <v>1333</v>
      </c>
      <c r="B605" t="s">
        <v>1334</v>
      </c>
      <c r="C605" s="1">
        <v>85000</v>
      </c>
      <c r="D605" s="1">
        <v>100000</v>
      </c>
      <c r="E605" s="2">
        <v>0.62</v>
      </c>
    </row>
    <row r="606" spans="1:5" x14ac:dyDescent="0.35">
      <c r="A606" t="s">
        <v>1335</v>
      </c>
      <c r="B606" t="s">
        <v>1336</v>
      </c>
      <c r="C606" s="1">
        <v>85000</v>
      </c>
      <c r="D606" s="1">
        <v>100000</v>
      </c>
      <c r="E606" s="2">
        <v>0.62</v>
      </c>
    </row>
    <row r="607" spans="1:5" x14ac:dyDescent="0.35">
      <c r="A607" t="s">
        <v>1337</v>
      </c>
      <c r="B607" t="s">
        <v>1338</v>
      </c>
      <c r="C607" s="1">
        <v>85000</v>
      </c>
      <c r="D607" s="1">
        <v>100000</v>
      </c>
      <c r="E607" s="2">
        <v>0.62</v>
      </c>
    </row>
    <row r="608" spans="1:5" x14ac:dyDescent="0.35">
      <c r="A608" t="s">
        <v>1339</v>
      </c>
      <c r="B608" t="s">
        <v>1340</v>
      </c>
      <c r="C608" s="1">
        <v>85000</v>
      </c>
      <c r="D608" s="1">
        <v>100000</v>
      </c>
      <c r="E608" s="2">
        <v>0.62</v>
      </c>
    </row>
    <row r="609" spans="1:5" x14ac:dyDescent="0.35">
      <c r="A609" t="s">
        <v>1341</v>
      </c>
      <c r="B609" t="s">
        <v>1342</v>
      </c>
      <c r="C609" s="1">
        <v>85000</v>
      </c>
      <c r="D609" s="1">
        <v>100000</v>
      </c>
      <c r="E609" s="2">
        <v>0.62</v>
      </c>
    </row>
    <row r="610" spans="1:5" x14ac:dyDescent="0.35">
      <c r="A610" t="s">
        <v>1343</v>
      </c>
      <c r="B610" t="s">
        <v>1344</v>
      </c>
      <c r="C610" s="1">
        <v>85000</v>
      </c>
      <c r="D610" s="1">
        <v>100000</v>
      </c>
      <c r="E610" s="2">
        <v>0.62</v>
      </c>
    </row>
    <row r="611" spans="1:5" x14ac:dyDescent="0.35">
      <c r="A611" t="s">
        <v>1345</v>
      </c>
      <c r="B611" t="s">
        <v>1346</v>
      </c>
      <c r="C611" s="1">
        <v>85000</v>
      </c>
      <c r="D611" s="1">
        <v>100000</v>
      </c>
      <c r="E611" s="2">
        <v>0.62</v>
      </c>
    </row>
    <row r="612" spans="1:5" x14ac:dyDescent="0.35">
      <c r="A612" t="s">
        <v>1347</v>
      </c>
      <c r="B612" t="s">
        <v>1348</v>
      </c>
      <c r="C612" s="1">
        <v>85000</v>
      </c>
      <c r="D612" s="1">
        <v>100000</v>
      </c>
      <c r="E612" s="2">
        <v>0.62</v>
      </c>
    </row>
    <row r="613" spans="1:5" x14ac:dyDescent="0.35">
      <c r="A613" t="s">
        <v>1349</v>
      </c>
      <c r="B613" t="s">
        <v>1350</v>
      </c>
      <c r="C613" s="1">
        <v>85000</v>
      </c>
      <c r="D613" s="1">
        <v>100000</v>
      </c>
      <c r="E613" s="2">
        <v>0.62</v>
      </c>
    </row>
    <row r="614" spans="1:5" x14ac:dyDescent="0.35">
      <c r="A614" t="s">
        <v>1351</v>
      </c>
      <c r="B614" t="s">
        <v>1352</v>
      </c>
      <c r="C614" s="1">
        <v>85000</v>
      </c>
      <c r="D614" s="1">
        <v>100000</v>
      </c>
      <c r="E614" s="2">
        <v>0.62</v>
      </c>
    </row>
    <row r="615" spans="1:5" x14ac:dyDescent="0.35">
      <c r="A615" t="s">
        <v>1353</v>
      </c>
      <c r="B615" t="s">
        <v>1354</v>
      </c>
      <c r="C615" s="1">
        <v>85000</v>
      </c>
      <c r="D615" s="1">
        <v>100000</v>
      </c>
      <c r="E615" s="2">
        <v>0.62</v>
      </c>
    </row>
    <row r="616" spans="1:5" x14ac:dyDescent="0.35">
      <c r="A616" t="s">
        <v>1355</v>
      </c>
      <c r="B616" t="s">
        <v>1356</v>
      </c>
      <c r="C616" s="1">
        <v>85000</v>
      </c>
      <c r="D616" s="1">
        <v>100000</v>
      </c>
      <c r="E616" s="2">
        <v>0.62</v>
      </c>
    </row>
    <row r="617" spans="1:5" x14ac:dyDescent="0.35">
      <c r="A617" t="s">
        <v>1357</v>
      </c>
      <c r="B617" t="s">
        <v>1358</v>
      </c>
      <c r="C617" s="1">
        <v>85000</v>
      </c>
      <c r="D617" s="1">
        <v>100000</v>
      </c>
      <c r="E617" s="2">
        <v>0.62</v>
      </c>
    </row>
    <row r="618" spans="1:5" x14ac:dyDescent="0.35">
      <c r="A618" t="s">
        <v>1359</v>
      </c>
      <c r="B618" t="s">
        <v>1360</v>
      </c>
      <c r="C618" s="1">
        <v>85000</v>
      </c>
      <c r="D618" s="1">
        <v>100000</v>
      </c>
      <c r="E618" s="2">
        <v>0.62</v>
      </c>
    </row>
    <row r="619" spans="1:5" x14ac:dyDescent="0.35">
      <c r="A619" t="s">
        <v>1361</v>
      </c>
      <c r="B619" t="s">
        <v>1362</v>
      </c>
      <c r="C619" s="1">
        <v>85000</v>
      </c>
      <c r="D619" s="1">
        <v>100000</v>
      </c>
      <c r="E619" s="2">
        <v>0.62</v>
      </c>
    </row>
    <row r="620" spans="1:5" x14ac:dyDescent="0.35">
      <c r="A620" t="s">
        <v>1363</v>
      </c>
      <c r="B620" t="s">
        <v>1364</v>
      </c>
      <c r="C620" s="1">
        <v>85000</v>
      </c>
      <c r="D620" s="1">
        <v>100000</v>
      </c>
      <c r="E620" s="2">
        <v>0.62</v>
      </c>
    </row>
    <row r="621" spans="1:5" x14ac:dyDescent="0.35">
      <c r="A621" t="s">
        <v>1365</v>
      </c>
      <c r="B621" t="s">
        <v>1366</v>
      </c>
      <c r="C621" s="1">
        <v>85000</v>
      </c>
      <c r="D621" s="1">
        <v>100000</v>
      </c>
      <c r="E621" s="2">
        <v>0.62</v>
      </c>
    </row>
    <row r="622" spans="1:5" x14ac:dyDescent="0.35">
      <c r="A622" t="s">
        <v>1367</v>
      </c>
      <c r="B622" t="s">
        <v>1368</v>
      </c>
      <c r="C622" s="1">
        <v>85000</v>
      </c>
      <c r="D622" s="1">
        <v>100000</v>
      </c>
      <c r="E622" s="2">
        <v>0.62</v>
      </c>
    </row>
    <row r="623" spans="1:5" x14ac:dyDescent="0.35">
      <c r="A623" t="s">
        <v>1369</v>
      </c>
      <c r="B623" t="s">
        <v>1370</v>
      </c>
      <c r="C623" s="1">
        <v>85000</v>
      </c>
      <c r="D623" s="1">
        <v>100000</v>
      </c>
      <c r="E623" s="2">
        <v>0.62</v>
      </c>
    </row>
    <row r="624" spans="1:5" x14ac:dyDescent="0.35">
      <c r="A624" t="s">
        <v>1371</v>
      </c>
      <c r="B624" t="s">
        <v>1372</v>
      </c>
      <c r="C624" s="1">
        <v>85000</v>
      </c>
      <c r="D624" s="1">
        <v>100000</v>
      </c>
      <c r="E624" s="2">
        <v>0.62</v>
      </c>
    </row>
    <row r="625" spans="1:5" x14ac:dyDescent="0.35">
      <c r="A625" t="s">
        <v>1373</v>
      </c>
      <c r="B625" t="s">
        <v>1374</v>
      </c>
      <c r="C625" s="1">
        <v>85000</v>
      </c>
      <c r="D625" s="1">
        <v>100000</v>
      </c>
      <c r="E625" s="2">
        <v>0.62</v>
      </c>
    </row>
    <row r="626" spans="1:5" x14ac:dyDescent="0.35">
      <c r="A626" t="s">
        <v>1375</v>
      </c>
      <c r="B626" t="s">
        <v>1376</v>
      </c>
      <c r="C626" s="1">
        <v>85000</v>
      </c>
      <c r="D626" s="1">
        <v>100000</v>
      </c>
      <c r="E626" s="2">
        <v>0.62</v>
      </c>
    </row>
    <row r="627" spans="1:5" x14ac:dyDescent="0.35">
      <c r="A627" t="s">
        <v>1377</v>
      </c>
      <c r="B627" t="s">
        <v>1378</v>
      </c>
      <c r="C627" s="1">
        <v>85000</v>
      </c>
      <c r="D627" s="1">
        <v>100000</v>
      </c>
      <c r="E627" s="2">
        <v>0.62</v>
      </c>
    </row>
    <row r="628" spans="1:5" x14ac:dyDescent="0.35">
      <c r="A628" t="s">
        <v>1379</v>
      </c>
      <c r="B628" t="s">
        <v>1380</v>
      </c>
      <c r="C628" s="1">
        <v>85000</v>
      </c>
      <c r="D628" s="1">
        <v>100000</v>
      </c>
      <c r="E628" s="2">
        <v>0.62</v>
      </c>
    </row>
    <row r="629" spans="1:5" x14ac:dyDescent="0.35">
      <c r="A629" t="s">
        <v>1381</v>
      </c>
      <c r="B629" t="s">
        <v>1382</v>
      </c>
      <c r="C629" s="1">
        <v>85000</v>
      </c>
      <c r="D629" s="1">
        <v>100000</v>
      </c>
      <c r="E629" s="2">
        <v>0.62</v>
      </c>
    </row>
    <row r="630" spans="1:5" x14ac:dyDescent="0.35">
      <c r="A630" t="s">
        <v>1383</v>
      </c>
      <c r="B630" t="s">
        <v>1384</v>
      </c>
      <c r="C630" s="1">
        <v>85000</v>
      </c>
      <c r="D630" s="1">
        <v>100000</v>
      </c>
      <c r="E630" s="2">
        <v>0.62</v>
      </c>
    </row>
    <row r="631" spans="1:5" x14ac:dyDescent="0.35">
      <c r="A631" t="s">
        <v>1385</v>
      </c>
      <c r="B631" t="s">
        <v>1386</v>
      </c>
      <c r="C631" s="1">
        <v>85000</v>
      </c>
      <c r="D631" s="1">
        <v>100000</v>
      </c>
      <c r="E631" s="2">
        <v>0.62</v>
      </c>
    </row>
    <row r="632" spans="1:5" x14ac:dyDescent="0.35">
      <c r="A632" t="s">
        <v>1387</v>
      </c>
      <c r="B632" t="s">
        <v>1388</v>
      </c>
      <c r="C632" s="1">
        <v>85000</v>
      </c>
      <c r="D632" s="1">
        <v>100000</v>
      </c>
      <c r="E632" s="2">
        <v>0.62</v>
      </c>
    </row>
    <row r="633" spans="1:5" x14ac:dyDescent="0.35">
      <c r="A633" t="s">
        <v>1389</v>
      </c>
      <c r="B633" t="s">
        <v>1390</v>
      </c>
      <c r="C633" s="1">
        <v>85000</v>
      </c>
      <c r="D633" s="1">
        <v>100000</v>
      </c>
      <c r="E633" s="2">
        <v>0.62</v>
      </c>
    </row>
    <row r="634" spans="1:5" x14ac:dyDescent="0.35">
      <c r="A634" t="s">
        <v>1391</v>
      </c>
      <c r="B634" t="s">
        <v>1392</v>
      </c>
      <c r="C634" s="1">
        <v>85000</v>
      </c>
      <c r="D634" s="1">
        <v>100000</v>
      </c>
      <c r="E634" s="2">
        <v>0.62</v>
      </c>
    </row>
    <row r="635" spans="1:5" x14ac:dyDescent="0.35">
      <c r="A635" t="s">
        <v>1393</v>
      </c>
      <c r="B635" t="s">
        <v>1394</v>
      </c>
      <c r="C635" s="1">
        <v>85000</v>
      </c>
      <c r="D635" s="1">
        <v>100000</v>
      </c>
      <c r="E635" s="2">
        <v>0.62</v>
      </c>
    </row>
    <row r="636" spans="1:5" x14ac:dyDescent="0.35">
      <c r="A636" t="s">
        <v>1395</v>
      </c>
      <c r="B636" t="s">
        <v>1396</v>
      </c>
      <c r="C636" s="1">
        <v>85000</v>
      </c>
      <c r="D636" s="1">
        <v>100000</v>
      </c>
      <c r="E636" s="2">
        <v>0.62</v>
      </c>
    </row>
    <row r="637" spans="1:5" x14ac:dyDescent="0.35">
      <c r="A637" t="s">
        <v>1397</v>
      </c>
      <c r="B637" t="s">
        <v>1398</v>
      </c>
      <c r="C637" s="1">
        <v>85000</v>
      </c>
      <c r="D637" s="1">
        <v>100000</v>
      </c>
      <c r="E637" s="2">
        <v>0.62</v>
      </c>
    </row>
    <row r="638" spans="1:5" x14ac:dyDescent="0.35">
      <c r="A638" t="s">
        <v>1399</v>
      </c>
      <c r="B638" t="s">
        <v>1400</v>
      </c>
      <c r="C638" s="1">
        <v>85000</v>
      </c>
      <c r="D638" s="1">
        <v>100000</v>
      </c>
      <c r="E638" s="2">
        <v>0.4</v>
      </c>
    </row>
    <row r="639" spans="1:5" x14ac:dyDescent="0.35">
      <c r="A639" t="s">
        <v>1401</v>
      </c>
      <c r="B639" t="s">
        <v>1402</v>
      </c>
      <c r="C639" s="1">
        <v>85000</v>
      </c>
      <c r="D639" s="1">
        <v>100000</v>
      </c>
      <c r="E639" s="2">
        <v>0.4</v>
      </c>
    </row>
    <row r="640" spans="1:5" x14ac:dyDescent="0.35">
      <c r="A640" t="s">
        <v>1403</v>
      </c>
      <c r="B640" t="s">
        <v>1404</v>
      </c>
      <c r="C640" s="1">
        <v>85000</v>
      </c>
      <c r="D640" s="1">
        <v>100000</v>
      </c>
      <c r="E640" s="2">
        <v>0.4</v>
      </c>
    </row>
    <row r="641" spans="1:5" x14ac:dyDescent="0.35">
      <c r="A641" t="s">
        <v>1405</v>
      </c>
      <c r="B641" t="s">
        <v>1406</v>
      </c>
      <c r="C641" s="1">
        <v>85000</v>
      </c>
      <c r="D641" s="1">
        <v>100000</v>
      </c>
      <c r="E641" s="2">
        <v>0.4</v>
      </c>
    </row>
    <row r="642" spans="1:5" x14ac:dyDescent="0.35">
      <c r="A642" t="s">
        <v>1407</v>
      </c>
      <c r="B642" t="s">
        <v>1408</v>
      </c>
      <c r="C642" s="1">
        <v>85000</v>
      </c>
      <c r="D642" s="1">
        <v>100000</v>
      </c>
      <c r="E642" s="2">
        <v>0.4</v>
      </c>
    </row>
    <row r="643" spans="1:5" x14ac:dyDescent="0.35">
      <c r="A643" t="s">
        <v>1409</v>
      </c>
      <c r="B643" t="s">
        <v>1410</v>
      </c>
      <c r="C643" s="1">
        <v>85000</v>
      </c>
      <c r="D643" s="1">
        <v>100000</v>
      </c>
      <c r="E643" s="2">
        <v>0.4</v>
      </c>
    </row>
    <row r="644" spans="1:5" x14ac:dyDescent="0.35">
      <c r="A644" t="s">
        <v>1411</v>
      </c>
      <c r="B644" t="s">
        <v>1412</v>
      </c>
      <c r="C644" s="1">
        <v>85000</v>
      </c>
      <c r="D644" s="1">
        <v>100000</v>
      </c>
      <c r="E644" s="2">
        <v>0.4</v>
      </c>
    </row>
    <row r="645" spans="1:5" x14ac:dyDescent="0.35">
      <c r="A645" t="s">
        <v>1413</v>
      </c>
      <c r="B645" t="s">
        <v>1414</v>
      </c>
      <c r="C645" s="1">
        <v>85000</v>
      </c>
      <c r="D645" s="1">
        <v>100000</v>
      </c>
      <c r="E645" s="2">
        <v>0.4</v>
      </c>
    </row>
    <row r="646" spans="1:5" x14ac:dyDescent="0.35">
      <c r="A646" t="s">
        <v>1415</v>
      </c>
      <c r="B646" t="s">
        <v>1416</v>
      </c>
      <c r="C646" s="1">
        <v>85000</v>
      </c>
      <c r="D646" s="1">
        <v>100000</v>
      </c>
      <c r="E646" s="2">
        <v>0.4</v>
      </c>
    </row>
    <row r="647" spans="1:5" x14ac:dyDescent="0.35">
      <c r="A647" t="s">
        <v>1417</v>
      </c>
      <c r="B647" t="s">
        <v>1418</v>
      </c>
      <c r="C647" s="1">
        <v>85000</v>
      </c>
      <c r="D647" s="1">
        <v>100000</v>
      </c>
      <c r="E647" s="2">
        <v>0.4</v>
      </c>
    </row>
    <row r="648" spans="1:5" x14ac:dyDescent="0.35">
      <c r="A648" t="s">
        <v>1419</v>
      </c>
      <c r="B648" t="s">
        <v>1420</v>
      </c>
      <c r="C648" s="1">
        <v>85000</v>
      </c>
      <c r="D648" s="1">
        <v>100000</v>
      </c>
      <c r="E648" s="2">
        <v>0.4</v>
      </c>
    </row>
    <row r="649" spans="1:5" x14ac:dyDescent="0.35">
      <c r="A649" t="s">
        <v>1421</v>
      </c>
      <c r="B649" t="s">
        <v>1422</v>
      </c>
      <c r="C649" s="1">
        <v>85000</v>
      </c>
      <c r="D649" s="1">
        <v>100000</v>
      </c>
      <c r="E649" s="2">
        <v>0.4</v>
      </c>
    </row>
    <row r="650" spans="1:5" x14ac:dyDescent="0.35">
      <c r="A650" t="s">
        <v>1423</v>
      </c>
      <c r="B650" t="s">
        <v>1424</v>
      </c>
      <c r="C650" s="1">
        <v>85000</v>
      </c>
      <c r="D650" s="1">
        <v>100000</v>
      </c>
      <c r="E650" s="2">
        <v>0.4</v>
      </c>
    </row>
    <row r="651" spans="1:5" x14ac:dyDescent="0.35">
      <c r="A651" t="s">
        <v>1425</v>
      </c>
      <c r="B651" t="s">
        <v>1426</v>
      </c>
      <c r="C651" s="1">
        <v>85000</v>
      </c>
      <c r="D651" s="1">
        <v>100000</v>
      </c>
      <c r="E651" s="2">
        <v>0.4</v>
      </c>
    </row>
    <row r="652" spans="1:5" x14ac:dyDescent="0.35">
      <c r="A652" t="s">
        <v>1427</v>
      </c>
      <c r="B652" t="s">
        <v>1428</v>
      </c>
      <c r="C652" s="1">
        <v>85000</v>
      </c>
      <c r="D652" s="1">
        <v>100000</v>
      </c>
      <c r="E652" s="2">
        <v>0.4</v>
      </c>
    </row>
    <row r="653" spans="1:5" x14ac:dyDescent="0.35">
      <c r="A653" t="s">
        <v>1429</v>
      </c>
      <c r="B653" t="s">
        <v>1430</v>
      </c>
      <c r="C653" s="1">
        <v>85000</v>
      </c>
      <c r="D653" s="1">
        <v>100000</v>
      </c>
      <c r="E653" s="2">
        <v>0.4</v>
      </c>
    </row>
    <row r="654" spans="1:5" x14ac:dyDescent="0.35">
      <c r="A654" t="s">
        <v>1431</v>
      </c>
      <c r="B654" t="s">
        <v>1432</v>
      </c>
      <c r="C654" s="1">
        <v>85000</v>
      </c>
      <c r="D654" s="1">
        <v>100000</v>
      </c>
      <c r="E654" s="2">
        <v>0.4</v>
      </c>
    </row>
    <row r="655" spans="1:5" x14ac:dyDescent="0.35">
      <c r="A655" t="s">
        <v>1433</v>
      </c>
      <c r="B655" t="s">
        <v>1434</v>
      </c>
      <c r="C655" s="1">
        <v>85000</v>
      </c>
      <c r="D655" s="1">
        <v>100000</v>
      </c>
      <c r="E655" s="2">
        <v>0.4</v>
      </c>
    </row>
    <row r="656" spans="1:5" x14ac:dyDescent="0.35">
      <c r="A656" t="s">
        <v>1435</v>
      </c>
      <c r="B656" t="s">
        <v>1436</v>
      </c>
      <c r="C656" s="1">
        <v>85000</v>
      </c>
      <c r="D656" s="1">
        <v>100000</v>
      </c>
      <c r="E656" s="2">
        <v>0.4</v>
      </c>
    </row>
    <row r="657" spans="1:5" x14ac:dyDescent="0.35">
      <c r="A657" t="s">
        <v>1437</v>
      </c>
      <c r="B657" t="s">
        <v>1438</v>
      </c>
      <c r="C657" s="1">
        <v>85000</v>
      </c>
      <c r="D657" s="1">
        <v>100000</v>
      </c>
      <c r="E657" s="2">
        <v>0.4</v>
      </c>
    </row>
    <row r="658" spans="1:5" x14ac:dyDescent="0.35">
      <c r="A658" t="s">
        <v>1439</v>
      </c>
      <c r="B658" t="s">
        <v>1440</v>
      </c>
      <c r="C658" s="1">
        <v>85000</v>
      </c>
      <c r="D658" s="1">
        <v>100000</v>
      </c>
      <c r="E658" s="2">
        <v>0.4</v>
      </c>
    </row>
    <row r="659" spans="1:5" x14ac:dyDescent="0.35">
      <c r="A659" t="s">
        <v>1441</v>
      </c>
      <c r="B659" t="s">
        <v>1442</v>
      </c>
      <c r="C659" s="1">
        <v>85000</v>
      </c>
      <c r="D659" s="1">
        <v>100000</v>
      </c>
      <c r="E659" s="2">
        <v>0.4</v>
      </c>
    </row>
    <row r="660" spans="1:5" x14ac:dyDescent="0.35">
      <c r="A660" t="s">
        <v>1443</v>
      </c>
      <c r="B660" t="s">
        <v>1444</v>
      </c>
      <c r="C660" s="1">
        <v>85000</v>
      </c>
      <c r="D660" s="1">
        <v>100000</v>
      </c>
      <c r="E660" s="2">
        <v>0.4</v>
      </c>
    </row>
    <row r="661" spans="1:5" x14ac:dyDescent="0.35">
      <c r="A661" t="s">
        <v>1445</v>
      </c>
      <c r="B661" t="s">
        <v>1446</v>
      </c>
      <c r="C661" s="1">
        <v>85000</v>
      </c>
      <c r="D661" s="1">
        <v>100000</v>
      </c>
      <c r="E661" s="2">
        <v>0.4</v>
      </c>
    </row>
    <row r="662" spans="1:5" x14ac:dyDescent="0.35">
      <c r="A662" t="s">
        <v>1447</v>
      </c>
      <c r="B662" t="s">
        <v>1448</v>
      </c>
      <c r="C662" s="1">
        <v>85000</v>
      </c>
      <c r="D662" s="1">
        <v>100000</v>
      </c>
      <c r="E662" s="2">
        <v>0.4</v>
      </c>
    </row>
    <row r="663" spans="1:5" x14ac:dyDescent="0.35">
      <c r="A663" t="s">
        <v>1449</v>
      </c>
      <c r="B663" t="s">
        <v>1450</v>
      </c>
      <c r="C663" s="1">
        <v>85000</v>
      </c>
      <c r="D663" s="1">
        <v>100000</v>
      </c>
      <c r="E663" s="2">
        <v>0.4</v>
      </c>
    </row>
    <row r="664" spans="1:5" x14ac:dyDescent="0.35">
      <c r="A664" t="s">
        <v>1451</v>
      </c>
      <c r="B664" t="s">
        <v>1452</v>
      </c>
      <c r="C664" s="1">
        <v>85000</v>
      </c>
      <c r="D664" s="1">
        <v>100000</v>
      </c>
      <c r="E664" s="2">
        <v>0.4</v>
      </c>
    </row>
    <row r="665" spans="1:5" x14ac:dyDescent="0.35">
      <c r="A665" t="s">
        <v>1453</v>
      </c>
      <c r="B665" t="s">
        <v>1454</v>
      </c>
      <c r="C665" s="1">
        <v>85000</v>
      </c>
      <c r="D665" s="1">
        <v>100000</v>
      </c>
      <c r="E665" s="2">
        <v>0.4</v>
      </c>
    </row>
    <row r="666" spans="1:5" x14ac:dyDescent="0.35">
      <c r="A666" t="s">
        <v>1455</v>
      </c>
      <c r="B666" t="s">
        <v>1456</v>
      </c>
      <c r="C666" s="1">
        <v>85000</v>
      </c>
      <c r="D666" s="1">
        <v>100000</v>
      </c>
      <c r="E666" s="2">
        <v>0.4</v>
      </c>
    </row>
    <row r="667" spans="1:5" x14ac:dyDescent="0.35">
      <c r="A667" t="s">
        <v>1457</v>
      </c>
      <c r="B667" t="s">
        <v>1458</v>
      </c>
      <c r="C667" s="1">
        <v>85000</v>
      </c>
      <c r="D667" s="1">
        <v>100000</v>
      </c>
      <c r="E667" s="2">
        <v>0.4</v>
      </c>
    </row>
    <row r="668" spans="1:5" x14ac:dyDescent="0.35">
      <c r="A668" t="s">
        <v>1459</v>
      </c>
      <c r="B668" t="s">
        <v>1460</v>
      </c>
      <c r="C668" s="1">
        <v>85000</v>
      </c>
      <c r="D668" s="1">
        <v>100000</v>
      </c>
      <c r="E668" s="2">
        <v>0.4</v>
      </c>
    </row>
    <row r="669" spans="1:5" x14ac:dyDescent="0.35">
      <c r="A669" t="s">
        <v>1461</v>
      </c>
      <c r="B669" t="s">
        <v>1462</v>
      </c>
      <c r="C669" s="1">
        <v>85000</v>
      </c>
      <c r="D669" s="1">
        <v>100000</v>
      </c>
      <c r="E669" s="2">
        <v>0.4</v>
      </c>
    </row>
    <row r="670" spans="1:5" x14ac:dyDescent="0.35">
      <c r="A670" t="s">
        <v>1463</v>
      </c>
      <c r="B670" t="s">
        <v>1464</v>
      </c>
      <c r="C670" s="1">
        <v>85000</v>
      </c>
      <c r="D670" s="1">
        <v>100000</v>
      </c>
      <c r="E670" s="2">
        <v>0.4</v>
      </c>
    </row>
    <row r="671" spans="1:5" x14ac:dyDescent="0.35">
      <c r="A671" t="s">
        <v>1465</v>
      </c>
      <c r="B671" t="s">
        <v>1466</v>
      </c>
      <c r="C671" s="1">
        <v>85000</v>
      </c>
      <c r="D671" s="1">
        <v>100000</v>
      </c>
      <c r="E671" s="2">
        <v>0.4</v>
      </c>
    </row>
    <row r="672" spans="1:5" x14ac:dyDescent="0.35">
      <c r="A672" t="s">
        <v>1467</v>
      </c>
      <c r="B672" t="s">
        <v>1468</v>
      </c>
      <c r="C672" s="1">
        <v>85000</v>
      </c>
      <c r="D672" s="1">
        <v>100000</v>
      </c>
      <c r="E672" s="2">
        <v>0.4</v>
      </c>
    </row>
    <row r="673" spans="1:5" x14ac:dyDescent="0.35">
      <c r="A673" t="s">
        <v>1469</v>
      </c>
      <c r="B673" t="s">
        <v>1470</v>
      </c>
      <c r="C673" s="1">
        <v>85000</v>
      </c>
      <c r="D673" s="1">
        <v>100000</v>
      </c>
      <c r="E673" s="2">
        <v>0.4</v>
      </c>
    </row>
    <row r="674" spans="1:5" x14ac:dyDescent="0.35">
      <c r="A674" t="s">
        <v>1471</v>
      </c>
      <c r="B674" t="s">
        <v>1472</v>
      </c>
      <c r="C674" s="1">
        <v>85000</v>
      </c>
      <c r="D674" s="1">
        <v>100000</v>
      </c>
      <c r="E674" s="2">
        <v>0.4</v>
      </c>
    </row>
    <row r="675" spans="1:5" x14ac:dyDescent="0.35">
      <c r="A675" t="s">
        <v>1473</v>
      </c>
      <c r="B675" t="s">
        <v>1474</v>
      </c>
      <c r="C675" s="1">
        <v>85000</v>
      </c>
      <c r="D675" s="1">
        <v>100000</v>
      </c>
      <c r="E675" s="2">
        <v>0.4</v>
      </c>
    </row>
    <row r="676" spans="1:5" x14ac:dyDescent="0.35">
      <c r="A676" t="s">
        <v>1475</v>
      </c>
      <c r="B676" t="s">
        <v>1476</v>
      </c>
      <c r="C676" s="1">
        <v>85000</v>
      </c>
      <c r="D676" s="1">
        <v>100000</v>
      </c>
      <c r="E676" s="2">
        <v>0.4</v>
      </c>
    </row>
    <row r="677" spans="1:5" x14ac:dyDescent="0.35">
      <c r="A677" t="s">
        <v>1477</v>
      </c>
      <c r="B677" t="s">
        <v>1478</v>
      </c>
      <c r="C677" s="1">
        <v>85000</v>
      </c>
      <c r="D677" s="1">
        <v>100000</v>
      </c>
      <c r="E677" s="2">
        <v>0.4</v>
      </c>
    </row>
    <row r="678" spans="1:5" x14ac:dyDescent="0.35">
      <c r="A678" t="s">
        <v>1479</v>
      </c>
      <c r="B678" t="s">
        <v>1480</v>
      </c>
      <c r="C678" s="1">
        <v>85000</v>
      </c>
      <c r="D678" s="1">
        <v>100000</v>
      </c>
      <c r="E678" s="2">
        <v>0.4</v>
      </c>
    </row>
    <row r="679" spans="1:5" x14ac:dyDescent="0.35">
      <c r="A679" t="s">
        <v>1481</v>
      </c>
      <c r="B679" t="s">
        <v>1482</v>
      </c>
      <c r="C679" s="1">
        <v>85000</v>
      </c>
      <c r="D679" s="1">
        <v>100000</v>
      </c>
      <c r="E679" s="2">
        <v>0.4</v>
      </c>
    </row>
    <row r="680" spans="1:5" x14ac:dyDescent="0.35">
      <c r="A680" t="s">
        <v>1483</v>
      </c>
      <c r="B680" t="s">
        <v>1484</v>
      </c>
      <c r="C680" s="1">
        <v>85000</v>
      </c>
      <c r="D680" s="1">
        <v>100000</v>
      </c>
      <c r="E680" s="2">
        <v>0.4</v>
      </c>
    </row>
    <row r="681" spans="1:5" x14ac:dyDescent="0.35">
      <c r="A681" t="s">
        <v>1485</v>
      </c>
      <c r="B681" t="s">
        <v>1486</v>
      </c>
      <c r="C681" s="1">
        <v>85000</v>
      </c>
      <c r="D681" s="1">
        <v>100000</v>
      </c>
      <c r="E681" s="2">
        <v>0.4</v>
      </c>
    </row>
    <row r="682" spans="1:5" x14ac:dyDescent="0.35">
      <c r="A682" t="s">
        <v>1487</v>
      </c>
      <c r="B682" t="s">
        <v>1488</v>
      </c>
      <c r="C682" s="1">
        <v>85000</v>
      </c>
      <c r="D682" s="1">
        <v>100000</v>
      </c>
      <c r="E682" s="2">
        <v>0.4</v>
      </c>
    </row>
    <row r="683" spans="1:5" x14ac:dyDescent="0.35">
      <c r="A683" t="s">
        <v>1489</v>
      </c>
      <c r="B683" t="s">
        <v>1490</v>
      </c>
      <c r="C683" s="1">
        <v>85000</v>
      </c>
      <c r="D683" s="1">
        <v>100000</v>
      </c>
      <c r="E683" s="2">
        <v>0.4</v>
      </c>
    </row>
    <row r="684" spans="1:5" x14ac:dyDescent="0.35">
      <c r="A684" t="s">
        <v>1491</v>
      </c>
      <c r="B684" t="s">
        <v>1492</v>
      </c>
      <c r="C684" s="1">
        <v>85000</v>
      </c>
      <c r="D684" s="1">
        <v>100000</v>
      </c>
      <c r="E684" s="2">
        <v>0.4</v>
      </c>
    </row>
    <row r="685" spans="1:5" x14ac:dyDescent="0.35">
      <c r="A685" t="s">
        <v>1493</v>
      </c>
      <c r="B685" t="s">
        <v>1494</v>
      </c>
      <c r="C685" s="1">
        <v>85000</v>
      </c>
      <c r="D685" s="1">
        <v>100000</v>
      </c>
      <c r="E685" s="2">
        <v>0.4</v>
      </c>
    </row>
    <row r="686" spans="1:5" x14ac:dyDescent="0.35">
      <c r="A686" t="s">
        <v>1495</v>
      </c>
      <c r="B686" t="s">
        <v>1496</v>
      </c>
      <c r="C686" s="1">
        <v>85000</v>
      </c>
      <c r="D686" s="1">
        <v>100000</v>
      </c>
      <c r="E686" s="2">
        <v>0.4</v>
      </c>
    </row>
    <row r="687" spans="1:5" x14ac:dyDescent="0.35">
      <c r="A687" t="s">
        <v>1497</v>
      </c>
      <c r="B687" t="s">
        <v>1498</v>
      </c>
      <c r="C687" s="1">
        <v>85000</v>
      </c>
      <c r="D687" s="1">
        <v>100000</v>
      </c>
      <c r="E687" s="2">
        <v>0.4</v>
      </c>
    </row>
    <row r="688" spans="1:5" x14ac:dyDescent="0.35">
      <c r="A688" t="s">
        <v>1499</v>
      </c>
      <c r="B688" t="s">
        <v>1500</v>
      </c>
      <c r="C688" s="1">
        <v>85000</v>
      </c>
      <c r="D688" s="1">
        <v>100000</v>
      </c>
      <c r="E688" s="2">
        <v>0.4</v>
      </c>
    </row>
    <row r="689" spans="1:5" x14ac:dyDescent="0.35">
      <c r="A689" t="s">
        <v>1501</v>
      </c>
      <c r="B689" t="s">
        <v>1502</v>
      </c>
      <c r="C689" s="1">
        <v>85000</v>
      </c>
      <c r="D689" s="1">
        <v>100000</v>
      </c>
      <c r="E689" s="2">
        <v>0.4</v>
      </c>
    </row>
    <row r="690" spans="1:5" x14ac:dyDescent="0.35">
      <c r="A690" t="s">
        <v>1503</v>
      </c>
      <c r="B690" t="s">
        <v>1504</v>
      </c>
      <c r="C690" s="1">
        <v>85000</v>
      </c>
      <c r="D690" s="1">
        <v>100000</v>
      </c>
      <c r="E690" s="2">
        <v>0.4</v>
      </c>
    </row>
    <row r="691" spans="1:5" x14ac:dyDescent="0.35">
      <c r="A691" t="s">
        <v>1505</v>
      </c>
      <c r="B691" t="s">
        <v>1506</v>
      </c>
      <c r="C691" s="1">
        <v>85000</v>
      </c>
      <c r="D691" s="1">
        <v>100000</v>
      </c>
      <c r="E691" s="2">
        <v>0.4</v>
      </c>
    </row>
    <row r="692" spans="1:5" x14ac:dyDescent="0.35">
      <c r="A692" t="s">
        <v>1507</v>
      </c>
      <c r="B692" t="s">
        <v>1508</v>
      </c>
      <c r="C692" s="1">
        <v>85000</v>
      </c>
      <c r="D692" s="1">
        <v>100000</v>
      </c>
      <c r="E692" s="2">
        <v>0.4</v>
      </c>
    </row>
    <row r="693" spans="1:5" x14ac:dyDescent="0.35">
      <c r="A693" t="s">
        <v>1509</v>
      </c>
      <c r="B693" t="s">
        <v>1510</v>
      </c>
      <c r="C693" s="1">
        <v>85000</v>
      </c>
      <c r="D693" s="1">
        <v>100000</v>
      </c>
      <c r="E693" s="2">
        <v>0.4</v>
      </c>
    </row>
    <row r="694" spans="1:5" x14ac:dyDescent="0.35">
      <c r="A694" t="s">
        <v>1511</v>
      </c>
      <c r="B694" t="s">
        <v>1512</v>
      </c>
      <c r="C694" s="1">
        <v>85000</v>
      </c>
      <c r="D694" s="1">
        <v>100000</v>
      </c>
      <c r="E694" s="2">
        <v>0.4</v>
      </c>
    </row>
    <row r="695" spans="1:5" x14ac:dyDescent="0.35">
      <c r="A695" t="s">
        <v>1513</v>
      </c>
      <c r="B695" t="s">
        <v>1514</v>
      </c>
      <c r="C695" s="1">
        <v>85000</v>
      </c>
      <c r="D695" s="1">
        <v>100000</v>
      </c>
      <c r="E695" s="2">
        <v>0.4</v>
      </c>
    </row>
    <row r="696" spans="1:5" x14ac:dyDescent="0.35">
      <c r="A696" t="s">
        <v>1515</v>
      </c>
      <c r="B696" t="s">
        <v>1516</v>
      </c>
      <c r="C696" s="1">
        <v>85000</v>
      </c>
      <c r="D696" s="1">
        <v>100000</v>
      </c>
      <c r="E696" s="2">
        <v>0.4</v>
      </c>
    </row>
    <row r="697" spans="1:5" x14ac:dyDescent="0.35">
      <c r="A697" t="s">
        <v>1517</v>
      </c>
      <c r="B697" t="s">
        <v>1518</v>
      </c>
      <c r="C697" s="1">
        <v>85000</v>
      </c>
      <c r="D697" s="1">
        <v>100000</v>
      </c>
      <c r="E697" s="2">
        <v>0.4</v>
      </c>
    </row>
    <row r="698" spans="1:5" x14ac:dyDescent="0.35">
      <c r="A698" t="s">
        <v>1519</v>
      </c>
      <c r="B698" t="s">
        <v>1520</v>
      </c>
      <c r="C698" s="1">
        <v>85000</v>
      </c>
      <c r="D698" s="1">
        <v>100000</v>
      </c>
      <c r="E698" s="2">
        <v>0.4</v>
      </c>
    </row>
    <row r="699" spans="1:5" x14ac:dyDescent="0.35">
      <c r="A699" t="s">
        <v>1521</v>
      </c>
      <c r="B699" t="s">
        <v>1522</v>
      </c>
      <c r="C699" s="1">
        <v>85000</v>
      </c>
      <c r="D699" s="1">
        <v>100000</v>
      </c>
      <c r="E699" s="2">
        <v>0.4</v>
      </c>
    </row>
    <row r="700" spans="1:5" x14ac:dyDescent="0.35">
      <c r="A700" t="s">
        <v>1523</v>
      </c>
      <c r="B700" t="s">
        <v>1524</v>
      </c>
      <c r="C700" s="1">
        <v>85000</v>
      </c>
      <c r="D700" s="1">
        <v>100000</v>
      </c>
      <c r="E700" s="2">
        <v>0.4</v>
      </c>
    </row>
    <row r="701" spans="1:5" x14ac:dyDescent="0.35">
      <c r="A701" t="s">
        <v>1525</v>
      </c>
      <c r="B701" t="s">
        <v>1526</v>
      </c>
      <c r="C701" s="1">
        <v>85000</v>
      </c>
      <c r="D701" s="1">
        <v>100000</v>
      </c>
      <c r="E701" s="2">
        <v>0.4</v>
      </c>
    </row>
    <row r="702" spans="1:5" x14ac:dyDescent="0.35">
      <c r="A702" t="s">
        <v>1527</v>
      </c>
      <c r="B702" t="s">
        <v>1528</v>
      </c>
      <c r="C702" s="1">
        <v>85000</v>
      </c>
      <c r="D702" s="1">
        <v>100000</v>
      </c>
      <c r="E702" s="2">
        <v>0.4</v>
      </c>
    </row>
    <row r="703" spans="1:5" x14ac:dyDescent="0.35">
      <c r="A703" t="s">
        <v>1529</v>
      </c>
      <c r="B703" t="s">
        <v>1530</v>
      </c>
      <c r="C703" s="1">
        <v>85000</v>
      </c>
      <c r="D703" s="1">
        <v>100000</v>
      </c>
      <c r="E703" s="2">
        <v>0.4</v>
      </c>
    </row>
    <row r="704" spans="1:5" x14ac:dyDescent="0.35">
      <c r="A704" t="s">
        <v>1531</v>
      </c>
      <c r="B704" t="s">
        <v>1532</v>
      </c>
      <c r="C704" s="1">
        <v>85000</v>
      </c>
      <c r="D704" s="1">
        <v>100000</v>
      </c>
      <c r="E704" s="2">
        <v>0.4</v>
      </c>
    </row>
    <row r="705" spans="1:5" x14ac:dyDescent="0.35">
      <c r="A705" t="s">
        <v>1533</v>
      </c>
      <c r="B705" t="s">
        <v>1534</v>
      </c>
      <c r="C705" s="1">
        <v>85000</v>
      </c>
      <c r="D705" s="1">
        <v>100000</v>
      </c>
      <c r="E705" s="2">
        <v>0.4</v>
      </c>
    </row>
    <row r="706" spans="1:5" x14ac:dyDescent="0.35">
      <c r="A706" t="s">
        <v>1535</v>
      </c>
      <c r="B706" t="s">
        <v>1536</v>
      </c>
      <c r="C706" s="1">
        <v>85000</v>
      </c>
      <c r="D706" s="1">
        <v>100000</v>
      </c>
      <c r="E706" s="2">
        <v>0.4</v>
      </c>
    </row>
    <row r="707" spans="1:5" x14ac:dyDescent="0.35">
      <c r="A707" t="s">
        <v>1537</v>
      </c>
      <c r="B707" t="s">
        <v>1538</v>
      </c>
      <c r="C707" s="1">
        <v>85000</v>
      </c>
      <c r="D707" s="1">
        <v>100000</v>
      </c>
      <c r="E707" s="2">
        <v>0.4</v>
      </c>
    </row>
    <row r="708" spans="1:5" x14ac:dyDescent="0.35">
      <c r="A708" t="s">
        <v>1539</v>
      </c>
      <c r="B708" t="s">
        <v>1540</v>
      </c>
      <c r="C708" s="1">
        <v>85000</v>
      </c>
      <c r="D708" s="1">
        <v>100000</v>
      </c>
      <c r="E708" s="2">
        <v>0.4</v>
      </c>
    </row>
    <row r="709" spans="1:5" x14ac:dyDescent="0.35">
      <c r="A709" t="s">
        <v>1541</v>
      </c>
      <c r="B709" t="s">
        <v>1542</v>
      </c>
      <c r="C709" s="1">
        <v>85000</v>
      </c>
      <c r="D709" s="1">
        <v>100000</v>
      </c>
      <c r="E709" s="2">
        <v>0.4</v>
      </c>
    </row>
    <row r="710" spans="1:5" x14ac:dyDescent="0.35">
      <c r="A710" t="s">
        <v>1543</v>
      </c>
      <c r="B710" t="s">
        <v>1544</v>
      </c>
      <c r="C710" s="1">
        <v>85000</v>
      </c>
      <c r="D710" s="1">
        <v>100000</v>
      </c>
      <c r="E710" s="2">
        <v>0.4</v>
      </c>
    </row>
    <row r="711" spans="1:5" x14ac:dyDescent="0.35">
      <c r="A711" t="s">
        <v>1545</v>
      </c>
      <c r="B711" t="s">
        <v>1546</v>
      </c>
      <c r="C711" s="1">
        <v>85000</v>
      </c>
      <c r="D711" s="1">
        <v>100000</v>
      </c>
      <c r="E711" s="2">
        <v>0.4</v>
      </c>
    </row>
    <row r="712" spans="1:5" x14ac:dyDescent="0.35">
      <c r="A712" t="s">
        <v>1547</v>
      </c>
      <c r="B712" t="s">
        <v>1548</v>
      </c>
      <c r="C712" s="1">
        <v>85000</v>
      </c>
      <c r="D712" s="1">
        <v>100000</v>
      </c>
      <c r="E712" s="2">
        <v>0.4</v>
      </c>
    </row>
    <row r="713" spans="1:5" x14ac:dyDescent="0.35">
      <c r="A713" t="s">
        <v>1549</v>
      </c>
      <c r="B713" t="s">
        <v>1550</v>
      </c>
      <c r="C713" s="1">
        <v>85000</v>
      </c>
      <c r="D713" s="1">
        <v>100000</v>
      </c>
      <c r="E713" s="2">
        <v>0.4</v>
      </c>
    </row>
    <row r="714" spans="1:5" x14ac:dyDescent="0.35">
      <c r="A714" t="s">
        <v>1551</v>
      </c>
      <c r="B714" t="s">
        <v>1552</v>
      </c>
      <c r="C714" s="1">
        <v>85000</v>
      </c>
      <c r="D714" s="1">
        <v>100000</v>
      </c>
      <c r="E714" s="2">
        <v>0.4</v>
      </c>
    </row>
    <row r="715" spans="1:5" x14ac:dyDescent="0.35">
      <c r="A715" t="s">
        <v>1553</v>
      </c>
      <c r="B715" t="s">
        <v>1554</v>
      </c>
      <c r="C715" s="1">
        <v>85000</v>
      </c>
      <c r="D715" s="1">
        <v>100000</v>
      </c>
      <c r="E715" s="2">
        <v>0.4</v>
      </c>
    </row>
    <row r="716" spans="1:5" x14ac:dyDescent="0.35">
      <c r="A716" t="s">
        <v>1555</v>
      </c>
      <c r="B716" t="s">
        <v>1556</v>
      </c>
      <c r="C716" s="1">
        <v>85000</v>
      </c>
      <c r="D716" s="1">
        <v>100000</v>
      </c>
      <c r="E716" s="2">
        <v>0.4</v>
      </c>
    </row>
    <row r="717" spans="1:5" x14ac:dyDescent="0.35">
      <c r="A717" t="s">
        <v>1557</v>
      </c>
      <c r="B717" t="s">
        <v>1558</v>
      </c>
      <c r="C717" s="1">
        <v>85000</v>
      </c>
      <c r="D717" s="1">
        <v>100000</v>
      </c>
      <c r="E717" s="2">
        <v>0.4</v>
      </c>
    </row>
    <row r="718" spans="1:5" x14ac:dyDescent="0.35">
      <c r="A718" t="s">
        <v>1559</v>
      </c>
      <c r="B718" t="s">
        <v>1560</v>
      </c>
      <c r="C718" s="1">
        <v>85000</v>
      </c>
      <c r="D718" s="1">
        <v>100000</v>
      </c>
      <c r="E718" s="2">
        <v>0.4</v>
      </c>
    </row>
    <row r="719" spans="1:5" x14ac:dyDescent="0.35">
      <c r="A719" t="s">
        <v>1561</v>
      </c>
      <c r="B719" t="s">
        <v>1562</v>
      </c>
      <c r="C719" s="1">
        <v>85000</v>
      </c>
      <c r="D719" s="1">
        <v>100000</v>
      </c>
      <c r="E719" s="2">
        <v>0.4</v>
      </c>
    </row>
    <row r="720" spans="1:5" x14ac:dyDescent="0.35">
      <c r="A720" t="s">
        <v>1563</v>
      </c>
      <c r="B720" t="s">
        <v>1564</v>
      </c>
      <c r="C720" s="1">
        <v>85000</v>
      </c>
      <c r="D720" s="1">
        <v>100000</v>
      </c>
      <c r="E720" s="2">
        <v>0.4</v>
      </c>
    </row>
    <row r="721" spans="1:5" x14ac:dyDescent="0.35">
      <c r="A721" t="s">
        <v>1565</v>
      </c>
      <c r="B721" t="s">
        <v>1566</v>
      </c>
      <c r="C721" s="1">
        <v>85000</v>
      </c>
      <c r="D721" s="1">
        <v>100000</v>
      </c>
      <c r="E721" s="2">
        <v>0.4</v>
      </c>
    </row>
    <row r="722" spans="1:5" x14ac:dyDescent="0.35">
      <c r="A722" t="s">
        <v>1567</v>
      </c>
      <c r="B722" t="s">
        <v>1568</v>
      </c>
      <c r="C722" s="1">
        <v>85000</v>
      </c>
      <c r="D722" s="1">
        <v>100000</v>
      </c>
      <c r="E722" s="2">
        <v>0.4</v>
      </c>
    </row>
    <row r="723" spans="1:5" x14ac:dyDescent="0.35">
      <c r="A723" t="s">
        <v>1569</v>
      </c>
      <c r="B723" t="s">
        <v>1570</v>
      </c>
      <c r="C723" s="1">
        <v>85000</v>
      </c>
      <c r="D723" s="1">
        <v>100000</v>
      </c>
      <c r="E723" s="2">
        <v>0.4</v>
      </c>
    </row>
    <row r="724" spans="1:5" x14ac:dyDescent="0.35">
      <c r="A724" t="s">
        <v>1571</v>
      </c>
      <c r="B724" t="s">
        <v>1572</v>
      </c>
      <c r="C724" s="1">
        <v>85000</v>
      </c>
      <c r="D724" s="1">
        <v>100000</v>
      </c>
      <c r="E724" s="2">
        <v>0.4</v>
      </c>
    </row>
    <row r="725" spans="1:5" x14ac:dyDescent="0.35">
      <c r="A725" t="s">
        <v>1573</v>
      </c>
      <c r="B725" t="s">
        <v>1574</v>
      </c>
      <c r="C725" s="1">
        <v>85000</v>
      </c>
      <c r="D725" s="1">
        <v>100000</v>
      </c>
      <c r="E725" s="2">
        <v>0.4</v>
      </c>
    </row>
    <row r="726" spans="1:5" x14ac:dyDescent="0.35">
      <c r="A726" t="s">
        <v>1575</v>
      </c>
      <c r="B726" t="s">
        <v>1576</v>
      </c>
      <c r="C726" s="1">
        <v>85000</v>
      </c>
      <c r="D726" s="1">
        <v>100000</v>
      </c>
      <c r="E726" s="2">
        <v>0.4</v>
      </c>
    </row>
    <row r="727" spans="1:5" x14ac:dyDescent="0.35">
      <c r="A727" t="s">
        <v>1577</v>
      </c>
      <c r="B727" t="s">
        <v>1578</v>
      </c>
      <c r="C727" s="1">
        <v>85000</v>
      </c>
      <c r="D727" s="1">
        <v>100000</v>
      </c>
      <c r="E727" s="2">
        <v>0.4</v>
      </c>
    </row>
    <row r="728" spans="1:5" x14ac:dyDescent="0.35">
      <c r="A728" t="s">
        <v>1579</v>
      </c>
      <c r="B728" t="s">
        <v>1580</v>
      </c>
      <c r="C728" s="1">
        <v>85000</v>
      </c>
      <c r="D728" s="1">
        <v>100000</v>
      </c>
      <c r="E728" s="2">
        <v>0.4</v>
      </c>
    </row>
    <row r="729" spans="1:5" x14ac:dyDescent="0.35">
      <c r="A729" t="s">
        <v>1581</v>
      </c>
      <c r="B729" t="s">
        <v>1582</v>
      </c>
      <c r="C729" s="1">
        <v>85000</v>
      </c>
      <c r="D729" s="1">
        <v>100000</v>
      </c>
      <c r="E729" s="2">
        <v>0.4</v>
      </c>
    </row>
    <row r="730" spans="1:5" x14ac:dyDescent="0.35">
      <c r="A730" t="s">
        <v>1583</v>
      </c>
      <c r="B730" t="s">
        <v>1584</v>
      </c>
      <c r="C730" s="1">
        <v>85000</v>
      </c>
      <c r="D730" s="1">
        <v>100000</v>
      </c>
      <c r="E730" s="2">
        <v>0.4</v>
      </c>
    </row>
    <row r="731" spans="1:5" x14ac:dyDescent="0.35">
      <c r="A731" t="s">
        <v>1585</v>
      </c>
      <c r="B731" t="s">
        <v>1586</v>
      </c>
      <c r="C731" s="1">
        <v>85000</v>
      </c>
      <c r="D731" s="1">
        <v>100000</v>
      </c>
      <c r="E731" s="2">
        <v>0.4</v>
      </c>
    </row>
    <row r="732" spans="1:5" x14ac:dyDescent="0.35">
      <c r="A732" t="s">
        <v>1587</v>
      </c>
      <c r="B732" t="s">
        <v>1588</v>
      </c>
      <c r="C732" s="1">
        <v>85000</v>
      </c>
      <c r="D732" s="1">
        <v>100000</v>
      </c>
      <c r="E732" s="2">
        <v>0.4</v>
      </c>
    </row>
    <row r="733" spans="1:5" x14ac:dyDescent="0.35">
      <c r="A733" t="s">
        <v>1589</v>
      </c>
      <c r="B733" t="s">
        <v>1590</v>
      </c>
      <c r="C733" s="1">
        <v>85000</v>
      </c>
      <c r="D733" s="1">
        <v>100000</v>
      </c>
      <c r="E733" s="2">
        <v>0.4</v>
      </c>
    </row>
    <row r="734" spans="1:5" x14ac:dyDescent="0.35">
      <c r="A734" t="s">
        <v>1591</v>
      </c>
      <c r="B734" t="s">
        <v>1592</v>
      </c>
      <c r="C734" s="1">
        <v>85000</v>
      </c>
      <c r="D734" s="1">
        <v>100000</v>
      </c>
      <c r="E734" s="2">
        <v>0.4</v>
      </c>
    </row>
    <row r="735" spans="1:5" x14ac:dyDescent="0.35">
      <c r="A735" t="s">
        <v>1593</v>
      </c>
      <c r="B735" t="s">
        <v>1594</v>
      </c>
      <c r="C735" s="1">
        <v>85000</v>
      </c>
      <c r="D735" s="1">
        <v>100000</v>
      </c>
      <c r="E735" s="2">
        <v>0.4</v>
      </c>
    </row>
    <row r="736" spans="1:5" x14ac:dyDescent="0.35">
      <c r="A736" t="s">
        <v>1595</v>
      </c>
      <c r="B736" t="s">
        <v>1596</v>
      </c>
      <c r="C736" s="1">
        <v>85000</v>
      </c>
      <c r="D736" s="1">
        <v>100000</v>
      </c>
      <c r="E736" s="2">
        <v>0.4</v>
      </c>
    </row>
    <row r="737" spans="1:5" x14ac:dyDescent="0.35">
      <c r="A737" t="s">
        <v>1597</v>
      </c>
      <c r="B737" t="s">
        <v>1598</v>
      </c>
      <c r="C737" s="1">
        <v>85000</v>
      </c>
      <c r="D737" s="1">
        <v>100000</v>
      </c>
      <c r="E737" s="2">
        <v>0.4</v>
      </c>
    </row>
    <row r="738" spans="1:5" x14ac:dyDescent="0.35">
      <c r="A738" t="s">
        <v>1599</v>
      </c>
      <c r="B738" t="s">
        <v>1600</v>
      </c>
      <c r="C738" s="1">
        <v>85000</v>
      </c>
      <c r="D738" s="1">
        <v>100000</v>
      </c>
      <c r="E738" s="2">
        <v>0.4</v>
      </c>
    </row>
    <row r="739" spans="1:5" x14ac:dyDescent="0.35">
      <c r="A739" t="s">
        <v>1601</v>
      </c>
      <c r="B739" t="s">
        <v>1602</v>
      </c>
      <c r="C739" s="1">
        <v>85000</v>
      </c>
      <c r="D739" s="1">
        <v>100000</v>
      </c>
      <c r="E739" s="2">
        <v>0.4</v>
      </c>
    </row>
    <row r="740" spans="1:5" x14ac:dyDescent="0.35">
      <c r="A740" t="s">
        <v>1603</v>
      </c>
      <c r="B740" t="s">
        <v>1604</v>
      </c>
      <c r="C740" s="1">
        <v>85000</v>
      </c>
      <c r="D740" s="1">
        <v>100000</v>
      </c>
      <c r="E740" s="2">
        <v>0.4</v>
      </c>
    </row>
    <row r="741" spans="1:5" x14ac:dyDescent="0.35">
      <c r="A741" t="s">
        <v>1605</v>
      </c>
      <c r="B741" t="s">
        <v>1606</v>
      </c>
      <c r="C741" s="1">
        <v>85000</v>
      </c>
      <c r="D741" s="1">
        <v>100000</v>
      </c>
      <c r="E741" s="2">
        <v>0.4</v>
      </c>
    </row>
    <row r="742" spans="1:5" x14ac:dyDescent="0.35">
      <c r="A742" t="s">
        <v>1607</v>
      </c>
      <c r="B742" t="s">
        <v>1608</v>
      </c>
      <c r="C742" s="1">
        <v>85000</v>
      </c>
      <c r="D742" s="1">
        <v>100000</v>
      </c>
      <c r="E742" s="2">
        <v>0.4</v>
      </c>
    </row>
    <row r="743" spans="1:5" x14ac:dyDescent="0.35">
      <c r="A743" t="s">
        <v>1609</v>
      </c>
      <c r="B743" t="s">
        <v>1610</v>
      </c>
      <c r="C743" s="1">
        <v>85000</v>
      </c>
      <c r="D743" s="1">
        <v>100000</v>
      </c>
      <c r="E743" s="2">
        <v>0.4</v>
      </c>
    </row>
    <row r="744" spans="1:5" x14ac:dyDescent="0.35">
      <c r="A744" t="s">
        <v>1611</v>
      </c>
      <c r="B744" t="s">
        <v>1612</v>
      </c>
      <c r="C744" s="1">
        <v>85000</v>
      </c>
      <c r="D744" s="1">
        <v>100000</v>
      </c>
      <c r="E744" s="2">
        <v>0.4</v>
      </c>
    </row>
    <row r="745" spans="1:5" x14ac:dyDescent="0.35">
      <c r="A745" t="s">
        <v>1613</v>
      </c>
      <c r="B745" t="s">
        <v>1614</v>
      </c>
      <c r="C745" s="1">
        <v>85000</v>
      </c>
      <c r="D745" s="1">
        <v>100000</v>
      </c>
      <c r="E745" s="2">
        <v>0.4</v>
      </c>
    </row>
    <row r="746" spans="1:5" x14ac:dyDescent="0.35">
      <c r="A746" t="s">
        <v>1615</v>
      </c>
      <c r="B746" t="s">
        <v>1616</v>
      </c>
      <c r="C746" s="1">
        <v>85000</v>
      </c>
      <c r="D746" s="1">
        <v>100000</v>
      </c>
      <c r="E746" s="2">
        <v>0.4</v>
      </c>
    </row>
    <row r="747" spans="1:5" x14ac:dyDescent="0.35">
      <c r="A747" t="s">
        <v>1617</v>
      </c>
      <c r="B747" t="s">
        <v>1618</v>
      </c>
      <c r="C747" s="1">
        <v>85000</v>
      </c>
      <c r="D747" s="1">
        <v>100000</v>
      </c>
      <c r="E747" s="2">
        <v>0.4</v>
      </c>
    </row>
    <row r="748" spans="1:5" x14ac:dyDescent="0.35">
      <c r="A748" t="s">
        <v>1619</v>
      </c>
      <c r="B748" t="s">
        <v>1620</v>
      </c>
      <c r="C748" s="1">
        <v>85000</v>
      </c>
      <c r="D748" s="1">
        <v>100000</v>
      </c>
      <c r="E748" s="2">
        <v>0.4</v>
      </c>
    </row>
    <row r="749" spans="1:5" x14ac:dyDescent="0.35">
      <c r="A749" t="s">
        <v>1621</v>
      </c>
      <c r="B749" t="s">
        <v>1622</v>
      </c>
      <c r="C749" s="1">
        <v>85000</v>
      </c>
      <c r="D749" s="1">
        <v>100000</v>
      </c>
      <c r="E749" s="2">
        <v>0.4</v>
      </c>
    </row>
    <row r="750" spans="1:5" x14ac:dyDescent="0.35">
      <c r="A750" t="s">
        <v>1623</v>
      </c>
      <c r="B750" t="s">
        <v>1624</v>
      </c>
      <c r="C750" s="1">
        <v>85000</v>
      </c>
      <c r="D750" s="1">
        <v>100000</v>
      </c>
      <c r="E750" s="2">
        <v>0.4</v>
      </c>
    </row>
    <row r="751" spans="1:5" x14ac:dyDescent="0.35">
      <c r="A751" t="s">
        <v>1625</v>
      </c>
      <c r="B751" t="s">
        <v>1626</v>
      </c>
      <c r="C751" s="1">
        <v>85000</v>
      </c>
      <c r="D751" s="1">
        <v>100000</v>
      </c>
      <c r="E751" s="2">
        <v>0.4</v>
      </c>
    </row>
    <row r="752" spans="1:5" x14ac:dyDescent="0.35">
      <c r="A752" t="s">
        <v>1627</v>
      </c>
      <c r="B752" t="s">
        <v>1628</v>
      </c>
      <c r="C752" s="1">
        <v>85000</v>
      </c>
      <c r="D752" s="1">
        <v>100000</v>
      </c>
      <c r="E752" s="2">
        <v>0.4</v>
      </c>
    </row>
    <row r="753" spans="1:5" x14ac:dyDescent="0.35">
      <c r="A753" t="s">
        <v>1629</v>
      </c>
      <c r="B753" t="s">
        <v>1630</v>
      </c>
      <c r="C753" s="1">
        <v>85000</v>
      </c>
      <c r="D753" s="1">
        <v>100000</v>
      </c>
      <c r="E753" s="2">
        <v>0.4</v>
      </c>
    </row>
    <row r="754" spans="1:5" x14ac:dyDescent="0.35">
      <c r="A754" t="s">
        <v>1631</v>
      </c>
      <c r="B754" t="s">
        <v>1632</v>
      </c>
      <c r="C754" s="1">
        <v>85000</v>
      </c>
      <c r="D754" s="1">
        <v>100000</v>
      </c>
      <c r="E754" s="2">
        <v>0.4</v>
      </c>
    </row>
    <row r="755" spans="1:5" x14ac:dyDescent="0.35">
      <c r="A755" t="s">
        <v>1633</v>
      </c>
      <c r="B755" t="s">
        <v>1634</v>
      </c>
      <c r="C755" s="1">
        <v>85000</v>
      </c>
      <c r="D755" s="1">
        <v>100000</v>
      </c>
      <c r="E755" s="2">
        <v>0.4</v>
      </c>
    </row>
    <row r="756" spans="1:5" x14ac:dyDescent="0.35">
      <c r="A756" t="s">
        <v>1635</v>
      </c>
      <c r="B756" t="s">
        <v>1636</v>
      </c>
      <c r="C756" s="1">
        <v>85000</v>
      </c>
      <c r="D756" s="1">
        <v>100000</v>
      </c>
      <c r="E756" s="2">
        <v>0.4</v>
      </c>
    </row>
    <row r="757" spans="1:5" x14ac:dyDescent="0.35">
      <c r="A757" t="s">
        <v>1637</v>
      </c>
      <c r="B757" t="s">
        <v>1638</v>
      </c>
      <c r="C757" s="1">
        <v>85000</v>
      </c>
      <c r="D757" s="1">
        <v>100000</v>
      </c>
      <c r="E757" s="2">
        <v>0.4</v>
      </c>
    </row>
    <row r="758" spans="1:5" x14ac:dyDescent="0.35">
      <c r="A758" t="s">
        <v>1639</v>
      </c>
      <c r="B758" t="s">
        <v>1640</v>
      </c>
      <c r="C758" s="1">
        <v>85000</v>
      </c>
      <c r="D758" s="1">
        <v>100000</v>
      </c>
      <c r="E758" s="2">
        <v>0.4</v>
      </c>
    </row>
    <row r="759" spans="1:5" x14ac:dyDescent="0.35">
      <c r="A759" t="s">
        <v>1641</v>
      </c>
      <c r="B759" t="s">
        <v>1642</v>
      </c>
      <c r="C759" s="1">
        <v>85000</v>
      </c>
      <c r="D759" s="1">
        <v>100000</v>
      </c>
      <c r="E759" s="2">
        <v>0.4</v>
      </c>
    </row>
    <row r="760" spans="1:5" x14ac:dyDescent="0.35">
      <c r="A760" t="s">
        <v>1643</v>
      </c>
      <c r="B760" t="s">
        <v>1644</v>
      </c>
      <c r="C760" s="1">
        <v>85000</v>
      </c>
      <c r="D760" s="1">
        <v>100000</v>
      </c>
      <c r="E760" s="2">
        <v>0.4</v>
      </c>
    </row>
    <row r="761" spans="1:5" x14ac:dyDescent="0.35">
      <c r="A761" t="s">
        <v>1645</v>
      </c>
      <c r="B761" t="s">
        <v>1646</v>
      </c>
      <c r="C761" s="1">
        <v>85000</v>
      </c>
      <c r="D761" s="1">
        <v>100000</v>
      </c>
      <c r="E761" s="2">
        <v>0.4</v>
      </c>
    </row>
    <row r="762" spans="1:5" x14ac:dyDescent="0.35">
      <c r="A762" t="s">
        <v>1647</v>
      </c>
      <c r="B762" t="s">
        <v>1648</v>
      </c>
      <c r="C762" s="1">
        <v>85000</v>
      </c>
      <c r="D762" s="1">
        <v>100000</v>
      </c>
      <c r="E762" s="2">
        <v>0.4</v>
      </c>
    </row>
    <row r="763" spans="1:5" x14ac:dyDescent="0.35">
      <c r="A763" t="s">
        <v>1649</v>
      </c>
      <c r="B763" t="s">
        <v>1650</v>
      </c>
      <c r="C763" s="1">
        <v>85000</v>
      </c>
      <c r="D763" s="1">
        <v>100000</v>
      </c>
      <c r="E763" s="2">
        <v>0.4</v>
      </c>
    </row>
    <row r="764" spans="1:5" x14ac:dyDescent="0.35">
      <c r="A764" t="s">
        <v>1651</v>
      </c>
      <c r="B764" t="s">
        <v>1652</v>
      </c>
      <c r="C764" s="1">
        <v>85000</v>
      </c>
      <c r="D764" s="1">
        <v>100000</v>
      </c>
      <c r="E764" s="2">
        <v>0.4</v>
      </c>
    </row>
    <row r="765" spans="1:5" x14ac:dyDescent="0.35">
      <c r="A765" t="s">
        <v>1653</v>
      </c>
      <c r="B765" t="s">
        <v>1654</v>
      </c>
      <c r="C765" s="1">
        <v>85000</v>
      </c>
      <c r="D765" s="1">
        <v>100000</v>
      </c>
      <c r="E765" s="2">
        <v>0.4</v>
      </c>
    </row>
    <row r="766" spans="1:5" x14ac:dyDescent="0.35">
      <c r="A766" t="s">
        <v>1655</v>
      </c>
      <c r="B766" t="s">
        <v>1656</v>
      </c>
      <c r="C766" s="1">
        <v>85000</v>
      </c>
      <c r="D766" s="1">
        <v>100000</v>
      </c>
      <c r="E766" s="2">
        <v>0.4</v>
      </c>
    </row>
    <row r="767" spans="1:5" x14ac:dyDescent="0.35">
      <c r="A767" t="s">
        <v>1657</v>
      </c>
      <c r="B767" t="s">
        <v>1658</v>
      </c>
      <c r="C767" s="1">
        <v>85000</v>
      </c>
      <c r="D767" s="1">
        <v>100000</v>
      </c>
      <c r="E767" s="2">
        <v>0.4</v>
      </c>
    </row>
    <row r="768" spans="1:5" x14ac:dyDescent="0.35">
      <c r="A768" t="s">
        <v>1659</v>
      </c>
      <c r="B768" t="s">
        <v>1660</v>
      </c>
      <c r="C768" s="1">
        <v>85000</v>
      </c>
      <c r="D768" s="1">
        <v>100000</v>
      </c>
      <c r="E768" s="2">
        <v>0.4</v>
      </c>
    </row>
    <row r="769" spans="1:5" x14ac:dyDescent="0.35">
      <c r="A769" t="s">
        <v>1661</v>
      </c>
      <c r="B769" t="s">
        <v>1662</v>
      </c>
      <c r="C769" s="1">
        <v>85000</v>
      </c>
      <c r="D769" s="1">
        <v>100000</v>
      </c>
      <c r="E769" s="2">
        <v>0.4</v>
      </c>
    </row>
    <row r="770" spans="1:5" x14ac:dyDescent="0.35">
      <c r="A770" t="s">
        <v>1663</v>
      </c>
      <c r="B770" t="s">
        <v>1664</v>
      </c>
      <c r="C770" s="1">
        <v>85000</v>
      </c>
      <c r="D770" s="1">
        <v>100000</v>
      </c>
      <c r="E770" s="2">
        <v>0.4</v>
      </c>
    </row>
    <row r="771" spans="1:5" x14ac:dyDescent="0.35">
      <c r="A771" t="s">
        <v>1665</v>
      </c>
      <c r="B771" t="s">
        <v>1666</v>
      </c>
      <c r="C771" s="1">
        <v>85000</v>
      </c>
      <c r="D771" s="1">
        <v>100000</v>
      </c>
      <c r="E771" s="2">
        <v>0.4</v>
      </c>
    </row>
    <row r="772" spans="1:5" x14ac:dyDescent="0.35">
      <c r="A772" t="s">
        <v>1667</v>
      </c>
      <c r="B772" t="s">
        <v>1668</v>
      </c>
      <c r="C772" s="1">
        <v>85000</v>
      </c>
      <c r="D772" s="1">
        <v>100000</v>
      </c>
      <c r="E772" s="2">
        <v>0.4</v>
      </c>
    </row>
    <row r="773" spans="1:5" x14ac:dyDescent="0.35">
      <c r="A773" t="s">
        <v>1669</v>
      </c>
      <c r="B773" t="s">
        <v>1670</v>
      </c>
      <c r="C773" s="1">
        <v>85000</v>
      </c>
      <c r="D773" s="1">
        <v>100000</v>
      </c>
      <c r="E773" s="2">
        <v>0.4</v>
      </c>
    </row>
    <row r="774" spans="1:5" x14ac:dyDescent="0.35">
      <c r="A774" t="s">
        <v>1671</v>
      </c>
      <c r="B774" t="s">
        <v>1672</v>
      </c>
      <c r="C774" s="1">
        <v>85000</v>
      </c>
      <c r="D774" s="1">
        <v>100000</v>
      </c>
      <c r="E774" s="2">
        <v>0.4</v>
      </c>
    </row>
    <row r="775" spans="1:5" x14ac:dyDescent="0.35">
      <c r="A775" t="s">
        <v>1673</v>
      </c>
      <c r="B775" t="s">
        <v>1674</v>
      </c>
      <c r="C775" s="1">
        <v>85000</v>
      </c>
      <c r="D775" s="1">
        <v>100000</v>
      </c>
      <c r="E775" s="2">
        <v>0.4</v>
      </c>
    </row>
    <row r="776" spans="1:5" x14ac:dyDescent="0.35">
      <c r="A776" t="s">
        <v>1675</v>
      </c>
      <c r="B776" t="s">
        <v>1676</v>
      </c>
      <c r="C776" s="1">
        <v>85000</v>
      </c>
      <c r="D776" s="1">
        <v>100000</v>
      </c>
      <c r="E776" s="2">
        <v>0.4</v>
      </c>
    </row>
    <row r="777" spans="1:5" x14ac:dyDescent="0.35">
      <c r="A777" t="s">
        <v>1677</v>
      </c>
      <c r="B777" t="s">
        <v>1678</v>
      </c>
      <c r="C777" s="1">
        <v>85000</v>
      </c>
      <c r="D777" s="1">
        <v>100000</v>
      </c>
      <c r="E777" s="2">
        <v>0.4</v>
      </c>
    </row>
    <row r="778" spans="1:5" x14ac:dyDescent="0.35">
      <c r="A778" t="s">
        <v>1679</v>
      </c>
      <c r="B778" t="s">
        <v>1680</v>
      </c>
      <c r="C778" s="1">
        <v>85000</v>
      </c>
      <c r="D778" s="1">
        <v>100000</v>
      </c>
      <c r="E778" s="2">
        <v>0.4</v>
      </c>
    </row>
    <row r="779" spans="1:5" x14ac:dyDescent="0.35">
      <c r="A779" t="s">
        <v>1681</v>
      </c>
      <c r="B779" t="s">
        <v>1682</v>
      </c>
      <c r="C779" s="1">
        <v>85000</v>
      </c>
      <c r="D779" s="1">
        <v>100000</v>
      </c>
      <c r="E779" s="2">
        <v>0.4</v>
      </c>
    </row>
    <row r="780" spans="1:5" x14ac:dyDescent="0.35">
      <c r="A780" t="s">
        <v>1683</v>
      </c>
      <c r="B780" t="s">
        <v>1684</v>
      </c>
      <c r="C780" s="1">
        <v>85000</v>
      </c>
      <c r="D780" s="1">
        <v>100000</v>
      </c>
      <c r="E780" s="2">
        <v>0.4</v>
      </c>
    </row>
    <row r="781" spans="1:5" x14ac:dyDescent="0.35">
      <c r="A781" t="s">
        <v>1685</v>
      </c>
      <c r="B781" t="s">
        <v>1686</v>
      </c>
      <c r="C781" s="1">
        <v>85000</v>
      </c>
      <c r="D781" s="1">
        <v>100000</v>
      </c>
      <c r="E781" s="2">
        <v>0.4</v>
      </c>
    </row>
    <row r="782" spans="1:5" x14ac:dyDescent="0.35">
      <c r="A782" t="s">
        <v>1687</v>
      </c>
      <c r="B782" t="s">
        <v>1688</v>
      </c>
      <c r="C782" s="1">
        <v>85000</v>
      </c>
      <c r="D782" s="1">
        <v>100000</v>
      </c>
      <c r="E782" s="2">
        <v>0.4</v>
      </c>
    </row>
    <row r="783" spans="1:5" x14ac:dyDescent="0.35">
      <c r="A783" t="s">
        <v>1689</v>
      </c>
      <c r="B783" t="s">
        <v>1690</v>
      </c>
      <c r="C783" s="1">
        <v>85000</v>
      </c>
      <c r="D783" s="1">
        <v>100000</v>
      </c>
      <c r="E783" s="2">
        <v>0.4</v>
      </c>
    </row>
    <row r="784" spans="1:5" x14ac:dyDescent="0.35">
      <c r="A784" t="s">
        <v>1691</v>
      </c>
      <c r="B784" t="s">
        <v>1692</v>
      </c>
      <c r="C784" s="1">
        <v>85000</v>
      </c>
      <c r="D784" s="1">
        <v>100000</v>
      </c>
      <c r="E784" s="2">
        <v>0.4</v>
      </c>
    </row>
    <row r="785" spans="1:5" x14ac:dyDescent="0.35">
      <c r="A785" t="s">
        <v>1693</v>
      </c>
      <c r="B785" t="s">
        <v>1694</v>
      </c>
      <c r="C785" s="1">
        <v>85000</v>
      </c>
      <c r="D785" s="1">
        <v>100000</v>
      </c>
      <c r="E785" s="2">
        <v>0.4</v>
      </c>
    </row>
    <row r="786" spans="1:5" x14ac:dyDescent="0.35">
      <c r="A786" t="s">
        <v>1695</v>
      </c>
      <c r="B786" t="s">
        <v>1696</v>
      </c>
      <c r="C786" s="1">
        <v>85000</v>
      </c>
      <c r="D786" s="1">
        <v>100000</v>
      </c>
      <c r="E786" s="2">
        <v>0.4</v>
      </c>
    </row>
    <row r="787" spans="1:5" x14ac:dyDescent="0.35">
      <c r="A787" t="s">
        <v>1697</v>
      </c>
      <c r="B787" t="s">
        <v>1698</v>
      </c>
      <c r="C787" s="1">
        <v>85000</v>
      </c>
      <c r="D787" s="1">
        <v>100000</v>
      </c>
      <c r="E787" s="2">
        <v>0.4</v>
      </c>
    </row>
    <row r="788" spans="1:5" x14ac:dyDescent="0.35">
      <c r="A788" t="s">
        <v>1699</v>
      </c>
      <c r="B788" t="s">
        <v>1700</v>
      </c>
      <c r="C788" s="1">
        <v>85000</v>
      </c>
      <c r="D788" s="1">
        <v>100000</v>
      </c>
      <c r="E788" s="2">
        <v>0.4</v>
      </c>
    </row>
    <row r="789" spans="1:5" x14ac:dyDescent="0.35">
      <c r="A789" t="s">
        <v>1701</v>
      </c>
      <c r="B789" t="s">
        <v>1702</v>
      </c>
      <c r="C789" s="1">
        <v>85000</v>
      </c>
      <c r="D789" s="1">
        <v>100000</v>
      </c>
      <c r="E789" s="2">
        <v>0.4</v>
      </c>
    </row>
    <row r="790" spans="1:5" x14ac:dyDescent="0.35">
      <c r="A790" t="s">
        <v>1703</v>
      </c>
      <c r="B790" t="s">
        <v>1704</v>
      </c>
      <c r="C790" s="1">
        <v>85000</v>
      </c>
      <c r="D790" s="1">
        <v>100000</v>
      </c>
      <c r="E790" s="2">
        <v>0.4</v>
      </c>
    </row>
    <row r="791" spans="1:5" x14ac:dyDescent="0.35">
      <c r="A791" t="s">
        <v>1705</v>
      </c>
      <c r="B791" t="s">
        <v>1706</v>
      </c>
      <c r="C791" s="1">
        <v>85000</v>
      </c>
      <c r="D791" s="1">
        <v>100000</v>
      </c>
      <c r="E791" s="2">
        <v>0.4</v>
      </c>
    </row>
    <row r="792" spans="1:5" x14ac:dyDescent="0.35">
      <c r="A792" t="s">
        <v>1707</v>
      </c>
      <c r="B792" t="s">
        <v>1708</v>
      </c>
      <c r="C792" s="1">
        <v>85000</v>
      </c>
      <c r="D792" s="1">
        <v>100000</v>
      </c>
      <c r="E792" s="2">
        <v>0.4</v>
      </c>
    </row>
    <row r="793" spans="1:5" x14ac:dyDescent="0.35">
      <c r="A793" t="s">
        <v>1709</v>
      </c>
      <c r="B793" t="s">
        <v>1710</v>
      </c>
      <c r="C793" s="1">
        <v>85000</v>
      </c>
      <c r="D793" s="1">
        <v>100000</v>
      </c>
      <c r="E793" s="2">
        <v>0.4</v>
      </c>
    </row>
    <row r="794" spans="1:5" x14ac:dyDescent="0.35">
      <c r="A794" t="s">
        <v>1711</v>
      </c>
      <c r="B794" t="s">
        <v>1712</v>
      </c>
      <c r="C794" s="1">
        <v>85000</v>
      </c>
      <c r="D794" s="1">
        <v>100000</v>
      </c>
      <c r="E794" s="2">
        <v>0.4</v>
      </c>
    </row>
    <row r="795" spans="1:5" x14ac:dyDescent="0.35">
      <c r="A795" t="s">
        <v>1713</v>
      </c>
      <c r="B795" t="s">
        <v>1714</v>
      </c>
      <c r="C795" s="1">
        <v>85000</v>
      </c>
      <c r="D795" s="1">
        <v>100000</v>
      </c>
      <c r="E795" s="2">
        <v>0.4</v>
      </c>
    </row>
    <row r="796" spans="1:5" x14ac:dyDescent="0.35">
      <c r="A796" t="s">
        <v>1715</v>
      </c>
      <c r="B796" t="s">
        <v>1716</v>
      </c>
      <c r="C796" s="1">
        <v>85000</v>
      </c>
      <c r="D796" s="1">
        <v>100000</v>
      </c>
      <c r="E796" s="2">
        <v>0.4</v>
      </c>
    </row>
    <row r="797" spans="1:5" x14ac:dyDescent="0.35">
      <c r="A797" t="s">
        <v>1717</v>
      </c>
      <c r="B797" t="s">
        <v>1718</v>
      </c>
      <c r="C797" s="1">
        <v>85000</v>
      </c>
      <c r="D797" s="1">
        <v>100000</v>
      </c>
      <c r="E797" s="2">
        <v>0.4</v>
      </c>
    </row>
    <row r="798" spans="1:5" x14ac:dyDescent="0.35">
      <c r="A798" t="s">
        <v>1719</v>
      </c>
      <c r="B798" t="s">
        <v>1720</v>
      </c>
      <c r="C798" s="1">
        <v>85000</v>
      </c>
      <c r="D798" s="1">
        <v>100000</v>
      </c>
      <c r="E798" s="2">
        <v>0.4</v>
      </c>
    </row>
    <row r="799" spans="1:5" x14ac:dyDescent="0.35">
      <c r="A799" t="s">
        <v>1721</v>
      </c>
      <c r="B799" t="s">
        <v>1722</v>
      </c>
      <c r="C799" s="1">
        <v>85000</v>
      </c>
      <c r="D799" s="1">
        <v>100000</v>
      </c>
      <c r="E799" s="2">
        <v>0.4</v>
      </c>
    </row>
    <row r="800" spans="1:5" x14ac:dyDescent="0.35">
      <c r="A800" t="s">
        <v>1723</v>
      </c>
      <c r="B800" t="s">
        <v>1724</v>
      </c>
      <c r="C800" s="1">
        <v>85000</v>
      </c>
      <c r="D800" s="1">
        <v>100000</v>
      </c>
      <c r="E800" s="2">
        <v>0.4</v>
      </c>
    </row>
    <row r="801" spans="1:5" x14ac:dyDescent="0.35">
      <c r="A801" t="s">
        <v>1725</v>
      </c>
      <c r="B801" t="s">
        <v>1726</v>
      </c>
      <c r="C801" s="1">
        <v>85000</v>
      </c>
      <c r="D801" s="1">
        <v>100000</v>
      </c>
      <c r="E801" s="2">
        <v>0.4</v>
      </c>
    </row>
    <row r="802" spans="1:5" x14ac:dyDescent="0.35">
      <c r="A802" t="s">
        <v>1727</v>
      </c>
      <c r="B802" t="s">
        <v>1728</v>
      </c>
      <c r="C802" s="1">
        <v>85000</v>
      </c>
      <c r="D802" s="1">
        <v>100000</v>
      </c>
      <c r="E802" s="2">
        <v>0.4</v>
      </c>
    </row>
    <row r="803" spans="1:5" x14ac:dyDescent="0.35">
      <c r="A803" t="s">
        <v>1729</v>
      </c>
      <c r="B803" t="s">
        <v>1730</v>
      </c>
      <c r="C803" s="1">
        <v>85000</v>
      </c>
      <c r="D803" s="1">
        <v>100000</v>
      </c>
      <c r="E803" s="2">
        <v>0.4</v>
      </c>
    </row>
    <row r="804" spans="1:5" x14ac:dyDescent="0.35">
      <c r="A804" t="s">
        <v>1731</v>
      </c>
      <c r="B804" t="s">
        <v>1732</v>
      </c>
      <c r="C804" s="1">
        <v>85000</v>
      </c>
      <c r="D804" s="1">
        <v>100000</v>
      </c>
      <c r="E804" s="2">
        <v>0.4</v>
      </c>
    </row>
    <row r="805" spans="1:5" x14ac:dyDescent="0.35">
      <c r="A805" t="s">
        <v>1733</v>
      </c>
      <c r="B805" t="s">
        <v>1734</v>
      </c>
      <c r="C805" s="1">
        <v>85000</v>
      </c>
      <c r="D805" s="1">
        <v>100000</v>
      </c>
      <c r="E805" s="2">
        <v>0.4</v>
      </c>
    </row>
    <row r="806" spans="1:5" x14ac:dyDescent="0.35">
      <c r="A806" t="s">
        <v>1735</v>
      </c>
      <c r="B806" t="s">
        <v>1736</v>
      </c>
      <c r="C806" s="1">
        <v>85000</v>
      </c>
      <c r="D806" s="1">
        <v>100000</v>
      </c>
      <c r="E806" s="2">
        <v>0.4</v>
      </c>
    </row>
    <row r="807" spans="1:5" x14ac:dyDescent="0.35">
      <c r="A807" t="s">
        <v>1737</v>
      </c>
      <c r="B807" t="s">
        <v>1738</v>
      </c>
      <c r="C807" s="1">
        <v>85000</v>
      </c>
      <c r="D807" s="1">
        <v>100000</v>
      </c>
      <c r="E807" s="2">
        <v>0.4</v>
      </c>
    </row>
    <row r="808" spans="1:5" x14ac:dyDescent="0.35">
      <c r="A808" t="s">
        <v>1739</v>
      </c>
      <c r="B808" t="s">
        <v>1740</v>
      </c>
      <c r="C808" s="1">
        <v>85000</v>
      </c>
      <c r="D808" s="1">
        <v>100000</v>
      </c>
      <c r="E808" s="2">
        <v>0.4</v>
      </c>
    </row>
    <row r="809" spans="1:5" x14ac:dyDescent="0.35">
      <c r="A809" t="s">
        <v>1741</v>
      </c>
      <c r="B809" t="s">
        <v>1742</v>
      </c>
      <c r="C809" s="1">
        <v>85000</v>
      </c>
      <c r="D809" s="1">
        <v>100000</v>
      </c>
      <c r="E809" s="2">
        <v>0.4</v>
      </c>
    </row>
    <row r="810" spans="1:5" x14ac:dyDescent="0.35">
      <c r="A810" t="s">
        <v>1743</v>
      </c>
      <c r="B810" t="s">
        <v>1744</v>
      </c>
      <c r="C810" s="1">
        <v>85000</v>
      </c>
      <c r="D810" s="1">
        <v>100000</v>
      </c>
      <c r="E810" s="2">
        <v>0.4</v>
      </c>
    </row>
    <row r="811" spans="1:5" x14ac:dyDescent="0.35">
      <c r="A811" t="s">
        <v>1745</v>
      </c>
      <c r="B811" t="s">
        <v>1746</v>
      </c>
      <c r="C811" s="1">
        <v>85000</v>
      </c>
      <c r="D811" s="1">
        <v>100000</v>
      </c>
      <c r="E811" s="2">
        <v>0.4</v>
      </c>
    </row>
    <row r="812" spans="1:5" x14ac:dyDescent="0.35">
      <c r="A812" t="s">
        <v>1747</v>
      </c>
      <c r="B812" t="s">
        <v>1748</v>
      </c>
      <c r="C812" s="1">
        <v>85000</v>
      </c>
      <c r="D812" s="1">
        <v>100000</v>
      </c>
      <c r="E812" s="2">
        <v>0.4</v>
      </c>
    </row>
    <row r="813" spans="1:5" x14ac:dyDescent="0.35">
      <c r="A813" t="s">
        <v>1749</v>
      </c>
      <c r="B813" t="s">
        <v>1750</v>
      </c>
      <c r="C813" s="1">
        <v>85000</v>
      </c>
      <c r="D813" s="1">
        <v>100000</v>
      </c>
      <c r="E813" s="2">
        <v>0.4</v>
      </c>
    </row>
    <row r="814" spans="1:5" x14ac:dyDescent="0.35">
      <c r="A814" t="s">
        <v>1751</v>
      </c>
      <c r="B814" t="s">
        <v>1752</v>
      </c>
      <c r="C814" s="1">
        <v>85000</v>
      </c>
      <c r="D814" s="1">
        <v>100000</v>
      </c>
      <c r="E814" s="2">
        <v>0.4</v>
      </c>
    </row>
    <row r="815" spans="1:5" x14ac:dyDescent="0.35">
      <c r="A815" t="s">
        <v>1753</v>
      </c>
      <c r="B815" t="s">
        <v>1754</v>
      </c>
      <c r="C815" s="1">
        <v>85000</v>
      </c>
      <c r="D815" s="1">
        <v>100000</v>
      </c>
      <c r="E815" s="2">
        <v>0.4</v>
      </c>
    </row>
    <row r="816" spans="1:5" x14ac:dyDescent="0.35">
      <c r="A816" t="s">
        <v>1755</v>
      </c>
      <c r="B816" t="s">
        <v>1756</v>
      </c>
      <c r="C816" s="1">
        <v>85000</v>
      </c>
      <c r="D816" s="1">
        <v>100000</v>
      </c>
      <c r="E816" s="2">
        <v>0.54</v>
      </c>
    </row>
    <row r="817" spans="1:5" x14ac:dyDescent="0.35">
      <c r="A817" t="s">
        <v>1757</v>
      </c>
      <c r="B817" t="s">
        <v>1758</v>
      </c>
      <c r="C817" s="1">
        <v>85000</v>
      </c>
      <c r="D817" s="1">
        <v>100000</v>
      </c>
      <c r="E817" s="2">
        <v>0.54</v>
      </c>
    </row>
    <row r="818" spans="1:5" x14ac:dyDescent="0.35">
      <c r="A818" t="s">
        <v>1759</v>
      </c>
      <c r="B818" t="s">
        <v>1760</v>
      </c>
      <c r="C818" s="1">
        <v>85000</v>
      </c>
      <c r="D818" s="1">
        <v>100000</v>
      </c>
      <c r="E818" s="2">
        <v>0.54</v>
      </c>
    </row>
    <row r="819" spans="1:5" x14ac:dyDescent="0.35">
      <c r="A819" t="s">
        <v>1761</v>
      </c>
      <c r="B819" t="s">
        <v>1762</v>
      </c>
      <c r="C819" s="1">
        <v>85000</v>
      </c>
      <c r="D819" s="1">
        <v>100000</v>
      </c>
      <c r="E819" s="2">
        <v>0.54</v>
      </c>
    </row>
    <row r="820" spans="1:5" x14ac:dyDescent="0.35">
      <c r="A820" t="s">
        <v>1763</v>
      </c>
      <c r="B820" t="s">
        <v>1764</v>
      </c>
      <c r="C820" s="1">
        <v>85000</v>
      </c>
      <c r="D820" s="1">
        <v>100000</v>
      </c>
      <c r="E820" s="2">
        <v>0.54</v>
      </c>
    </row>
    <row r="821" spans="1:5" x14ac:dyDescent="0.35">
      <c r="A821" t="s">
        <v>1765</v>
      </c>
      <c r="B821" t="s">
        <v>1766</v>
      </c>
      <c r="C821" s="1">
        <v>85000</v>
      </c>
      <c r="D821" s="1">
        <v>100000</v>
      </c>
      <c r="E821" s="2">
        <v>0.54</v>
      </c>
    </row>
    <row r="822" spans="1:5" x14ac:dyDescent="0.35">
      <c r="A822" t="s">
        <v>1767</v>
      </c>
      <c r="B822" t="s">
        <v>1768</v>
      </c>
      <c r="C822" s="1">
        <v>85000</v>
      </c>
      <c r="D822" s="1">
        <v>100000</v>
      </c>
      <c r="E822" s="2">
        <v>0.54</v>
      </c>
    </row>
    <row r="823" spans="1:5" x14ac:dyDescent="0.35">
      <c r="A823" t="s">
        <v>1769</v>
      </c>
      <c r="B823" t="s">
        <v>1770</v>
      </c>
      <c r="C823" s="1">
        <v>85000</v>
      </c>
      <c r="D823" s="1">
        <v>100000</v>
      </c>
      <c r="E823" s="2">
        <v>0.54</v>
      </c>
    </row>
    <row r="824" spans="1:5" x14ac:dyDescent="0.35">
      <c r="A824" t="s">
        <v>1771</v>
      </c>
      <c r="B824" t="s">
        <v>1772</v>
      </c>
      <c r="C824" s="1">
        <v>85000</v>
      </c>
      <c r="D824" s="1">
        <v>100000</v>
      </c>
      <c r="E824" s="2">
        <v>0.54</v>
      </c>
    </row>
    <row r="825" spans="1:5" x14ac:dyDescent="0.35">
      <c r="A825" t="s">
        <v>1773</v>
      </c>
      <c r="B825" t="s">
        <v>1774</v>
      </c>
      <c r="C825" s="1">
        <v>85000</v>
      </c>
      <c r="D825" s="1">
        <v>100000</v>
      </c>
      <c r="E825" s="2">
        <v>0.54</v>
      </c>
    </row>
    <row r="826" spans="1:5" x14ac:dyDescent="0.35">
      <c r="A826" t="s">
        <v>1775</v>
      </c>
      <c r="B826" t="s">
        <v>1776</v>
      </c>
      <c r="C826" s="1">
        <v>85000</v>
      </c>
      <c r="D826" s="1">
        <v>100000</v>
      </c>
      <c r="E826" s="2">
        <v>0.54</v>
      </c>
    </row>
    <row r="827" spans="1:5" x14ac:dyDescent="0.35">
      <c r="A827" t="s">
        <v>1777</v>
      </c>
      <c r="B827" t="s">
        <v>1778</v>
      </c>
      <c r="C827" s="1">
        <v>85000</v>
      </c>
      <c r="D827" s="1">
        <v>100000</v>
      </c>
      <c r="E827" s="2">
        <v>0.54</v>
      </c>
    </row>
    <row r="828" spans="1:5" x14ac:dyDescent="0.35">
      <c r="A828" t="s">
        <v>1779</v>
      </c>
      <c r="B828" t="s">
        <v>1780</v>
      </c>
      <c r="C828" s="1">
        <v>85000</v>
      </c>
      <c r="D828" s="1">
        <v>100000</v>
      </c>
      <c r="E828" s="2">
        <v>0.4</v>
      </c>
    </row>
    <row r="829" spans="1:5" x14ac:dyDescent="0.35">
      <c r="A829" t="s">
        <v>1781</v>
      </c>
      <c r="B829" t="s">
        <v>1782</v>
      </c>
      <c r="C829" s="1">
        <v>85000</v>
      </c>
      <c r="D829" s="1">
        <v>100000</v>
      </c>
      <c r="E829" s="2">
        <v>0.4</v>
      </c>
    </row>
    <row r="830" spans="1:5" x14ac:dyDescent="0.35">
      <c r="A830" t="s">
        <v>1783</v>
      </c>
      <c r="B830" t="s">
        <v>1784</v>
      </c>
      <c r="C830" s="1">
        <v>85000</v>
      </c>
      <c r="D830" s="1">
        <v>100000</v>
      </c>
      <c r="E830" s="2">
        <v>0.4</v>
      </c>
    </row>
    <row r="831" spans="1:5" x14ac:dyDescent="0.35">
      <c r="A831" t="s">
        <v>1785</v>
      </c>
      <c r="B831" t="s">
        <v>1786</v>
      </c>
      <c r="C831" s="1">
        <v>85000</v>
      </c>
      <c r="D831" s="1">
        <v>100000</v>
      </c>
      <c r="E831" s="2">
        <v>0.4</v>
      </c>
    </row>
    <row r="832" spans="1:5" x14ac:dyDescent="0.35">
      <c r="A832" t="s">
        <v>1787</v>
      </c>
      <c r="B832" t="s">
        <v>1788</v>
      </c>
      <c r="C832" s="1">
        <v>85000</v>
      </c>
      <c r="D832" s="1">
        <v>100000</v>
      </c>
      <c r="E832" s="2">
        <v>0.4</v>
      </c>
    </row>
    <row r="833" spans="1:5" x14ac:dyDescent="0.35">
      <c r="A833" t="s">
        <v>1789</v>
      </c>
      <c r="B833" t="s">
        <v>1790</v>
      </c>
      <c r="C833" s="1">
        <v>85000</v>
      </c>
      <c r="D833" s="1">
        <v>100000</v>
      </c>
      <c r="E833" s="2">
        <v>0.67</v>
      </c>
    </row>
    <row r="834" spans="1:5" x14ac:dyDescent="0.35">
      <c r="A834" t="s">
        <v>1791</v>
      </c>
      <c r="B834" t="s">
        <v>1792</v>
      </c>
      <c r="C834" s="1">
        <v>85000</v>
      </c>
      <c r="D834" s="1">
        <v>100000</v>
      </c>
      <c r="E834" s="2">
        <v>0.67</v>
      </c>
    </row>
    <row r="835" spans="1:5" x14ac:dyDescent="0.35">
      <c r="A835" t="s">
        <v>1793</v>
      </c>
      <c r="B835" t="s">
        <v>1794</v>
      </c>
      <c r="C835" s="1">
        <v>85000</v>
      </c>
      <c r="D835" s="1">
        <v>100000</v>
      </c>
      <c r="E835" s="2">
        <v>0.67</v>
      </c>
    </row>
    <row r="836" spans="1:5" x14ac:dyDescent="0.35">
      <c r="A836" t="s">
        <v>1795</v>
      </c>
      <c r="B836" t="s">
        <v>1796</v>
      </c>
      <c r="C836" s="1">
        <v>85000</v>
      </c>
      <c r="D836" s="1">
        <v>100000</v>
      </c>
      <c r="E836" s="2">
        <v>0.67</v>
      </c>
    </row>
    <row r="837" spans="1:5" x14ac:dyDescent="0.35">
      <c r="A837" t="s">
        <v>1797</v>
      </c>
      <c r="B837" t="s">
        <v>1798</v>
      </c>
      <c r="C837" s="1">
        <v>85000</v>
      </c>
      <c r="D837" s="1">
        <v>100000</v>
      </c>
      <c r="E837" s="2">
        <v>0.67</v>
      </c>
    </row>
    <row r="838" spans="1:5" x14ac:dyDescent="0.35">
      <c r="A838" t="s">
        <v>1799</v>
      </c>
      <c r="B838" t="s">
        <v>1800</v>
      </c>
      <c r="C838" s="1">
        <v>85000</v>
      </c>
      <c r="D838" s="1">
        <v>100000</v>
      </c>
      <c r="E838" s="2">
        <v>0.67</v>
      </c>
    </row>
    <row r="839" spans="1:5" x14ac:dyDescent="0.35">
      <c r="A839" t="s">
        <v>1801</v>
      </c>
      <c r="B839" t="s">
        <v>1802</v>
      </c>
      <c r="C839" s="1">
        <v>85000</v>
      </c>
      <c r="D839" s="1">
        <v>100000</v>
      </c>
      <c r="E839" s="2">
        <v>0.67</v>
      </c>
    </row>
    <row r="840" spans="1:5" x14ac:dyDescent="0.35">
      <c r="A840" t="s">
        <v>1803</v>
      </c>
      <c r="B840" t="s">
        <v>1804</v>
      </c>
      <c r="C840" s="1">
        <v>85000</v>
      </c>
      <c r="D840" s="1">
        <v>100000</v>
      </c>
      <c r="E840" s="2">
        <v>0.67</v>
      </c>
    </row>
    <row r="841" spans="1:5" x14ac:dyDescent="0.35">
      <c r="A841" t="s">
        <v>1805</v>
      </c>
      <c r="B841" t="s">
        <v>1806</v>
      </c>
      <c r="C841" s="1">
        <v>85000</v>
      </c>
      <c r="D841" s="1">
        <v>100000</v>
      </c>
      <c r="E841" s="2">
        <v>0.67</v>
      </c>
    </row>
    <row r="842" spans="1:5" x14ac:dyDescent="0.35">
      <c r="A842" t="s">
        <v>1807</v>
      </c>
      <c r="B842" t="s">
        <v>1808</v>
      </c>
      <c r="C842" s="1">
        <v>85000</v>
      </c>
      <c r="D842" s="1">
        <v>100000</v>
      </c>
      <c r="E842" s="2">
        <v>0.67</v>
      </c>
    </row>
    <row r="843" spans="1:5" x14ac:dyDescent="0.35">
      <c r="A843" t="s">
        <v>1809</v>
      </c>
      <c r="B843" t="s">
        <v>1810</v>
      </c>
      <c r="C843" s="1">
        <v>85000</v>
      </c>
      <c r="D843" s="1">
        <v>100000</v>
      </c>
      <c r="E843" s="2">
        <v>0.67</v>
      </c>
    </row>
    <row r="844" spans="1:5" x14ac:dyDescent="0.35">
      <c r="A844" t="s">
        <v>1811</v>
      </c>
      <c r="B844" t="s">
        <v>1812</v>
      </c>
      <c r="C844" s="1">
        <v>85000</v>
      </c>
      <c r="D844" s="1">
        <v>100000</v>
      </c>
      <c r="E844" s="2">
        <v>0.67</v>
      </c>
    </row>
    <row r="845" spans="1:5" x14ac:dyDescent="0.35">
      <c r="A845" t="s">
        <v>1813</v>
      </c>
      <c r="B845" t="s">
        <v>1814</v>
      </c>
      <c r="C845" s="1">
        <v>85000</v>
      </c>
      <c r="D845" s="1">
        <v>100000</v>
      </c>
      <c r="E845" s="2">
        <v>0.67</v>
      </c>
    </row>
    <row r="846" spans="1:5" x14ac:dyDescent="0.35">
      <c r="A846" t="s">
        <v>1815</v>
      </c>
      <c r="B846" t="s">
        <v>1816</v>
      </c>
      <c r="C846" s="1">
        <v>85000</v>
      </c>
      <c r="D846" s="1">
        <v>100000</v>
      </c>
      <c r="E846" s="2">
        <v>0.67</v>
      </c>
    </row>
    <row r="847" spans="1:5" x14ac:dyDescent="0.35">
      <c r="A847" t="s">
        <v>1817</v>
      </c>
      <c r="B847" t="s">
        <v>1818</v>
      </c>
      <c r="C847" s="1">
        <v>85000</v>
      </c>
      <c r="D847" s="1">
        <v>100000</v>
      </c>
      <c r="E847" s="2">
        <v>0.67</v>
      </c>
    </row>
    <row r="848" spans="1:5" x14ac:dyDescent="0.35">
      <c r="A848" t="s">
        <v>1819</v>
      </c>
      <c r="B848" t="s">
        <v>1820</v>
      </c>
      <c r="C848" s="1">
        <v>85000</v>
      </c>
      <c r="D848" s="1">
        <v>100000</v>
      </c>
      <c r="E848" s="2">
        <v>0.67</v>
      </c>
    </row>
    <row r="849" spans="1:5" x14ac:dyDescent="0.35">
      <c r="A849" t="s">
        <v>1821</v>
      </c>
      <c r="B849" t="s">
        <v>1822</v>
      </c>
      <c r="C849" s="1">
        <v>85000</v>
      </c>
      <c r="D849" s="1">
        <v>100000</v>
      </c>
      <c r="E849" s="2">
        <v>0.67</v>
      </c>
    </row>
    <row r="850" spans="1:5" x14ac:dyDescent="0.35">
      <c r="A850" t="s">
        <v>1823</v>
      </c>
      <c r="B850" t="s">
        <v>1824</v>
      </c>
      <c r="C850" s="1">
        <v>85000</v>
      </c>
      <c r="D850" s="1">
        <v>100000</v>
      </c>
      <c r="E850" s="2">
        <v>0.67</v>
      </c>
    </row>
    <row r="851" spans="1:5" x14ac:dyDescent="0.35">
      <c r="A851" t="s">
        <v>1825</v>
      </c>
      <c r="B851" t="s">
        <v>1826</v>
      </c>
      <c r="C851" s="1">
        <v>85000</v>
      </c>
      <c r="D851" s="1">
        <v>100000</v>
      </c>
      <c r="E851" s="2">
        <v>0.67</v>
      </c>
    </row>
    <row r="852" spans="1:5" x14ac:dyDescent="0.35">
      <c r="A852" t="s">
        <v>1827</v>
      </c>
      <c r="B852" t="s">
        <v>1828</v>
      </c>
      <c r="C852" s="1">
        <v>85000</v>
      </c>
      <c r="D852" s="1">
        <v>100000</v>
      </c>
      <c r="E852" s="2">
        <v>0.67</v>
      </c>
    </row>
    <row r="853" spans="1:5" x14ac:dyDescent="0.35">
      <c r="A853" t="s">
        <v>1829</v>
      </c>
      <c r="B853" t="s">
        <v>1830</v>
      </c>
      <c r="C853" s="1">
        <v>85000</v>
      </c>
      <c r="D853" s="1">
        <v>100000</v>
      </c>
      <c r="E853" s="2">
        <v>0.67</v>
      </c>
    </row>
    <row r="854" spans="1:5" x14ac:dyDescent="0.35">
      <c r="A854" t="s">
        <v>1831</v>
      </c>
      <c r="B854" t="s">
        <v>1832</v>
      </c>
      <c r="C854" s="1">
        <v>85000</v>
      </c>
      <c r="D854" s="1">
        <v>100000</v>
      </c>
      <c r="E854" s="2">
        <v>0.67</v>
      </c>
    </row>
    <row r="855" spans="1:5" x14ac:dyDescent="0.35">
      <c r="A855" t="s">
        <v>1833</v>
      </c>
      <c r="B855" t="s">
        <v>1834</v>
      </c>
      <c r="C855" s="1">
        <v>85000</v>
      </c>
      <c r="D855" s="1">
        <v>100000</v>
      </c>
      <c r="E855" s="2">
        <v>0.67</v>
      </c>
    </row>
    <row r="856" spans="1:5" x14ac:dyDescent="0.35">
      <c r="A856" t="s">
        <v>1835</v>
      </c>
      <c r="B856" t="s">
        <v>1836</v>
      </c>
      <c r="C856" s="1">
        <v>85000</v>
      </c>
      <c r="D856" s="1">
        <v>100000</v>
      </c>
      <c r="E856" s="2">
        <v>0.67</v>
      </c>
    </row>
    <row r="857" spans="1:5" x14ac:dyDescent="0.35">
      <c r="A857" t="s">
        <v>1837</v>
      </c>
      <c r="B857" t="s">
        <v>1838</v>
      </c>
      <c r="C857" s="1">
        <v>85000</v>
      </c>
      <c r="D857" s="1">
        <v>100000</v>
      </c>
      <c r="E857" s="2">
        <v>0.67</v>
      </c>
    </row>
    <row r="858" spans="1:5" x14ac:dyDescent="0.35">
      <c r="A858" t="s">
        <v>1839</v>
      </c>
      <c r="B858" t="s">
        <v>1840</v>
      </c>
      <c r="C858" s="1">
        <v>85000</v>
      </c>
      <c r="D858" s="1">
        <v>100000</v>
      </c>
      <c r="E858" s="2">
        <v>0.67</v>
      </c>
    </row>
    <row r="859" spans="1:5" x14ac:dyDescent="0.35">
      <c r="A859" t="s">
        <v>1841</v>
      </c>
      <c r="B859" t="s">
        <v>1842</v>
      </c>
      <c r="C859" s="1">
        <v>85000</v>
      </c>
      <c r="D859" s="1">
        <v>100000</v>
      </c>
      <c r="E859" s="2">
        <v>0.67</v>
      </c>
    </row>
    <row r="860" spans="1:5" x14ac:dyDescent="0.35">
      <c r="A860" t="s">
        <v>1843</v>
      </c>
      <c r="B860" t="s">
        <v>1844</v>
      </c>
      <c r="C860" s="1">
        <v>85000</v>
      </c>
      <c r="D860" s="1">
        <v>100000</v>
      </c>
      <c r="E860" s="2">
        <v>0.67</v>
      </c>
    </row>
    <row r="861" spans="1:5" x14ac:dyDescent="0.35">
      <c r="A861" t="s">
        <v>1845</v>
      </c>
      <c r="B861" t="s">
        <v>1846</v>
      </c>
      <c r="C861" s="1">
        <v>85000</v>
      </c>
      <c r="D861" s="1">
        <v>100000</v>
      </c>
      <c r="E861" s="2">
        <v>0.67</v>
      </c>
    </row>
    <row r="862" spans="1:5" x14ac:dyDescent="0.35">
      <c r="A862" t="s">
        <v>1847</v>
      </c>
      <c r="B862" t="s">
        <v>1848</v>
      </c>
      <c r="C862" s="1">
        <v>85000</v>
      </c>
      <c r="D862" s="1">
        <v>100000</v>
      </c>
      <c r="E862" s="2">
        <v>0.67</v>
      </c>
    </row>
    <row r="863" spans="1:5" x14ac:dyDescent="0.35">
      <c r="A863" t="s">
        <v>1849</v>
      </c>
      <c r="B863" t="s">
        <v>1850</v>
      </c>
      <c r="C863" s="1">
        <v>85000</v>
      </c>
      <c r="D863" s="1">
        <v>100000</v>
      </c>
      <c r="E863" s="2">
        <v>0.67</v>
      </c>
    </row>
    <row r="864" spans="1:5" x14ac:dyDescent="0.35">
      <c r="A864" t="s">
        <v>1851</v>
      </c>
      <c r="B864" t="s">
        <v>1852</v>
      </c>
      <c r="C864" s="1">
        <v>85000</v>
      </c>
      <c r="D864" s="1">
        <v>100000</v>
      </c>
      <c r="E864" s="2">
        <v>0.67</v>
      </c>
    </row>
    <row r="865" spans="1:5" x14ac:dyDescent="0.35">
      <c r="A865" t="s">
        <v>1853</v>
      </c>
      <c r="B865" t="s">
        <v>1854</v>
      </c>
      <c r="C865" s="1">
        <v>85000</v>
      </c>
      <c r="D865" s="1">
        <v>100000</v>
      </c>
      <c r="E865" s="2">
        <v>0.67</v>
      </c>
    </row>
    <row r="866" spans="1:5" x14ac:dyDescent="0.35">
      <c r="A866" t="s">
        <v>1855</v>
      </c>
      <c r="B866" t="s">
        <v>1856</v>
      </c>
      <c r="C866" s="1">
        <v>85000</v>
      </c>
      <c r="D866" s="1">
        <v>100000</v>
      </c>
      <c r="E866" s="2">
        <v>0.67</v>
      </c>
    </row>
    <row r="867" spans="1:5" x14ac:dyDescent="0.35">
      <c r="A867" t="s">
        <v>1857</v>
      </c>
      <c r="B867" t="s">
        <v>1858</v>
      </c>
      <c r="C867" s="1">
        <v>85000</v>
      </c>
      <c r="D867" s="1">
        <v>100000</v>
      </c>
      <c r="E867" s="2">
        <v>0.67</v>
      </c>
    </row>
    <row r="868" spans="1:5" x14ac:dyDescent="0.35">
      <c r="A868" t="s">
        <v>1859</v>
      </c>
      <c r="B868" t="s">
        <v>1860</v>
      </c>
      <c r="C868" s="1">
        <v>85000</v>
      </c>
      <c r="D868" s="1">
        <v>100000</v>
      </c>
      <c r="E868" s="2">
        <v>0.67</v>
      </c>
    </row>
    <row r="869" spans="1:5" x14ac:dyDescent="0.35">
      <c r="A869" t="s">
        <v>1861</v>
      </c>
      <c r="B869" t="s">
        <v>1862</v>
      </c>
      <c r="C869" s="1">
        <v>85000</v>
      </c>
      <c r="D869" s="1">
        <v>100000</v>
      </c>
      <c r="E869" s="2">
        <v>0.67</v>
      </c>
    </row>
    <row r="870" spans="1:5" x14ac:dyDescent="0.35">
      <c r="A870" t="s">
        <v>1863</v>
      </c>
      <c r="B870" t="s">
        <v>1864</v>
      </c>
      <c r="C870" s="1">
        <v>85000</v>
      </c>
      <c r="D870" s="1">
        <v>100000</v>
      </c>
      <c r="E870" s="2">
        <v>0.67</v>
      </c>
    </row>
    <row r="871" spans="1:5" x14ac:dyDescent="0.35">
      <c r="A871" t="s">
        <v>1865</v>
      </c>
      <c r="B871" t="s">
        <v>1866</v>
      </c>
      <c r="C871" s="1">
        <v>85000</v>
      </c>
      <c r="D871" s="1">
        <v>100000</v>
      </c>
      <c r="E871" s="2">
        <v>0.67</v>
      </c>
    </row>
    <row r="872" spans="1:5" x14ac:dyDescent="0.35">
      <c r="A872" t="s">
        <v>1867</v>
      </c>
      <c r="B872" t="s">
        <v>1868</v>
      </c>
      <c r="C872" s="1">
        <v>85000</v>
      </c>
      <c r="D872" s="1">
        <v>100000</v>
      </c>
      <c r="E872" s="2">
        <v>0.67</v>
      </c>
    </row>
    <row r="873" spans="1:5" x14ac:dyDescent="0.35">
      <c r="A873" t="s">
        <v>1869</v>
      </c>
      <c r="B873" t="s">
        <v>1870</v>
      </c>
      <c r="C873" s="1">
        <v>85000</v>
      </c>
      <c r="D873" s="1">
        <v>100000</v>
      </c>
      <c r="E873" s="2">
        <v>0.4</v>
      </c>
    </row>
    <row r="874" spans="1:5" x14ac:dyDescent="0.35">
      <c r="A874" t="s">
        <v>1871</v>
      </c>
      <c r="B874" t="s">
        <v>1872</v>
      </c>
      <c r="C874" s="1">
        <v>85000</v>
      </c>
      <c r="D874" s="1">
        <v>100000</v>
      </c>
      <c r="E874" s="2">
        <v>0.4</v>
      </c>
    </row>
    <row r="875" spans="1:5" x14ac:dyDescent="0.35">
      <c r="A875" t="s">
        <v>1873</v>
      </c>
      <c r="B875" t="s">
        <v>1874</v>
      </c>
      <c r="C875" s="1">
        <v>85000</v>
      </c>
      <c r="D875" s="1">
        <v>100000</v>
      </c>
      <c r="E875" s="2">
        <v>0.4</v>
      </c>
    </row>
    <row r="876" spans="1:5" x14ac:dyDescent="0.35">
      <c r="A876" t="s">
        <v>1875</v>
      </c>
      <c r="B876" t="s">
        <v>1876</v>
      </c>
      <c r="C876" s="1">
        <v>85000</v>
      </c>
      <c r="D876" s="1">
        <v>100000</v>
      </c>
      <c r="E876" s="2">
        <v>0.4</v>
      </c>
    </row>
    <row r="877" spans="1:5" x14ac:dyDescent="0.35">
      <c r="A877" t="s">
        <v>1877</v>
      </c>
      <c r="B877" t="s">
        <v>1878</v>
      </c>
      <c r="C877" s="1">
        <v>85000</v>
      </c>
      <c r="D877" s="1">
        <v>100000</v>
      </c>
      <c r="E877" s="2">
        <v>0.4</v>
      </c>
    </row>
    <row r="878" spans="1:5" x14ac:dyDescent="0.35">
      <c r="A878" t="s">
        <v>1879</v>
      </c>
      <c r="B878" t="s">
        <v>1880</v>
      </c>
      <c r="C878" s="1">
        <v>85000</v>
      </c>
      <c r="D878" s="1">
        <v>100000</v>
      </c>
      <c r="E878" s="2">
        <v>0.4</v>
      </c>
    </row>
    <row r="879" spans="1:5" x14ac:dyDescent="0.35">
      <c r="A879" t="s">
        <v>1881</v>
      </c>
      <c r="B879" t="s">
        <v>1882</v>
      </c>
      <c r="C879" s="1">
        <v>85000</v>
      </c>
      <c r="D879" s="1">
        <v>100000</v>
      </c>
      <c r="E879" s="2">
        <v>0.4</v>
      </c>
    </row>
    <row r="880" spans="1:5" x14ac:dyDescent="0.35">
      <c r="A880" t="s">
        <v>1883</v>
      </c>
      <c r="B880" t="s">
        <v>1884</v>
      </c>
      <c r="C880" s="1">
        <v>85000</v>
      </c>
      <c r="D880" s="1">
        <v>100000</v>
      </c>
      <c r="E880" s="2">
        <v>0.4</v>
      </c>
    </row>
    <row r="881" spans="1:5" x14ac:dyDescent="0.35">
      <c r="A881" t="s">
        <v>1885</v>
      </c>
      <c r="B881" t="s">
        <v>1886</v>
      </c>
      <c r="C881" s="1">
        <v>85000</v>
      </c>
      <c r="D881" s="1">
        <v>100000</v>
      </c>
      <c r="E881" s="2">
        <v>0.4</v>
      </c>
    </row>
    <row r="882" spans="1:5" x14ac:dyDescent="0.35">
      <c r="A882" t="s">
        <v>1887</v>
      </c>
      <c r="B882" t="s">
        <v>1888</v>
      </c>
      <c r="C882" s="1">
        <v>85000</v>
      </c>
      <c r="D882" s="1">
        <v>100000</v>
      </c>
      <c r="E882" s="2">
        <v>0.4</v>
      </c>
    </row>
    <row r="883" spans="1:5" x14ac:dyDescent="0.35">
      <c r="A883" t="s">
        <v>1889</v>
      </c>
      <c r="B883" t="s">
        <v>1890</v>
      </c>
      <c r="C883" s="1">
        <v>85000</v>
      </c>
      <c r="D883" s="1">
        <v>100000</v>
      </c>
      <c r="E883" s="2">
        <v>0.4</v>
      </c>
    </row>
    <row r="884" spans="1:5" x14ac:dyDescent="0.35">
      <c r="A884" t="s">
        <v>1891</v>
      </c>
      <c r="B884" t="s">
        <v>1892</v>
      </c>
      <c r="C884" s="1">
        <v>85000</v>
      </c>
      <c r="D884" s="1">
        <v>100000</v>
      </c>
      <c r="E884" s="2">
        <v>0.4</v>
      </c>
    </row>
    <row r="885" spans="1:5" x14ac:dyDescent="0.35">
      <c r="A885" t="s">
        <v>1893</v>
      </c>
      <c r="B885" t="s">
        <v>1894</v>
      </c>
      <c r="C885" s="1">
        <v>85000</v>
      </c>
      <c r="D885" s="1">
        <v>100000</v>
      </c>
      <c r="E885" s="2">
        <v>0.4</v>
      </c>
    </row>
    <row r="886" spans="1:5" x14ac:dyDescent="0.35">
      <c r="A886" t="s">
        <v>1895</v>
      </c>
      <c r="B886" t="s">
        <v>1896</v>
      </c>
      <c r="C886" s="1">
        <v>85000</v>
      </c>
      <c r="D886" s="1">
        <v>100000</v>
      </c>
      <c r="E886" s="2">
        <v>0.4</v>
      </c>
    </row>
    <row r="887" spans="1:5" x14ac:dyDescent="0.35">
      <c r="A887" t="s">
        <v>1897</v>
      </c>
      <c r="B887" t="s">
        <v>1898</v>
      </c>
      <c r="C887" s="1">
        <v>85000</v>
      </c>
      <c r="D887" s="1">
        <v>100000</v>
      </c>
      <c r="E887" s="2">
        <v>0.4</v>
      </c>
    </row>
    <row r="888" spans="1:5" x14ac:dyDescent="0.35">
      <c r="A888" t="s">
        <v>1899</v>
      </c>
      <c r="B888" t="s">
        <v>1900</v>
      </c>
      <c r="C888" s="1">
        <v>85000</v>
      </c>
      <c r="D888" s="1">
        <v>100000</v>
      </c>
      <c r="E888" s="2">
        <v>0.4</v>
      </c>
    </row>
    <row r="889" spans="1:5" x14ac:dyDescent="0.35">
      <c r="A889" t="s">
        <v>1901</v>
      </c>
      <c r="B889" t="s">
        <v>1902</v>
      </c>
      <c r="C889" s="1">
        <v>85000</v>
      </c>
      <c r="D889" s="1">
        <v>100000</v>
      </c>
      <c r="E889" s="2">
        <v>0.4</v>
      </c>
    </row>
    <row r="890" spans="1:5" x14ac:dyDescent="0.35">
      <c r="A890" t="s">
        <v>1903</v>
      </c>
      <c r="B890" t="s">
        <v>1904</v>
      </c>
      <c r="C890" s="1">
        <v>85000</v>
      </c>
      <c r="D890" s="1">
        <v>100000</v>
      </c>
      <c r="E890" s="2">
        <v>0.4</v>
      </c>
    </row>
    <row r="891" spans="1:5" x14ac:dyDescent="0.35">
      <c r="A891" t="s">
        <v>1905</v>
      </c>
      <c r="B891" t="s">
        <v>1906</v>
      </c>
      <c r="C891" s="1">
        <v>85000</v>
      </c>
      <c r="D891" s="1">
        <v>100000</v>
      </c>
      <c r="E891" s="2">
        <v>0.4</v>
      </c>
    </row>
    <row r="892" spans="1:5" x14ac:dyDescent="0.35">
      <c r="A892" t="s">
        <v>1907</v>
      </c>
      <c r="B892" t="s">
        <v>1908</v>
      </c>
      <c r="C892" s="1">
        <v>85000</v>
      </c>
      <c r="D892" s="1">
        <v>100000</v>
      </c>
      <c r="E892" s="2">
        <v>0.4</v>
      </c>
    </row>
    <row r="893" spans="1:5" x14ac:dyDescent="0.35">
      <c r="A893" t="s">
        <v>1909</v>
      </c>
      <c r="B893" t="s">
        <v>1910</v>
      </c>
      <c r="C893" s="1">
        <v>85000</v>
      </c>
      <c r="D893" s="1">
        <v>100000</v>
      </c>
      <c r="E893" s="2">
        <v>0.4</v>
      </c>
    </row>
    <row r="894" spans="1:5" x14ac:dyDescent="0.35">
      <c r="A894" t="s">
        <v>1911</v>
      </c>
      <c r="B894" t="s">
        <v>1912</v>
      </c>
      <c r="C894" s="1">
        <v>85000</v>
      </c>
      <c r="D894" s="1">
        <v>100000</v>
      </c>
      <c r="E894" s="2">
        <v>0.67</v>
      </c>
    </row>
    <row r="895" spans="1:5" x14ac:dyDescent="0.35">
      <c r="A895" t="s">
        <v>1913</v>
      </c>
      <c r="B895" t="s">
        <v>1914</v>
      </c>
      <c r="C895" s="1">
        <v>85000</v>
      </c>
      <c r="D895" s="1">
        <v>100000</v>
      </c>
      <c r="E895" s="2">
        <v>0.67</v>
      </c>
    </row>
    <row r="896" spans="1:5" x14ac:dyDescent="0.35">
      <c r="A896" t="s">
        <v>1915</v>
      </c>
      <c r="B896" t="s">
        <v>1916</v>
      </c>
      <c r="C896" s="1">
        <v>85000</v>
      </c>
      <c r="D896" s="1">
        <v>100000</v>
      </c>
      <c r="E896" s="2">
        <v>0.67</v>
      </c>
    </row>
    <row r="897" spans="1:5" x14ac:dyDescent="0.35">
      <c r="A897" t="s">
        <v>1917</v>
      </c>
      <c r="B897" t="s">
        <v>1918</v>
      </c>
      <c r="C897" s="1">
        <v>85000</v>
      </c>
      <c r="D897" s="1">
        <v>100000</v>
      </c>
      <c r="E897" s="2">
        <v>0.67</v>
      </c>
    </row>
    <row r="898" spans="1:5" x14ac:dyDescent="0.35">
      <c r="A898" t="s">
        <v>1919</v>
      </c>
      <c r="B898" t="s">
        <v>1920</v>
      </c>
      <c r="C898" s="1">
        <v>85000</v>
      </c>
      <c r="D898" s="1">
        <v>100000</v>
      </c>
      <c r="E898" s="2">
        <v>0.67</v>
      </c>
    </row>
    <row r="899" spans="1:5" x14ac:dyDescent="0.35">
      <c r="A899" t="s">
        <v>1921</v>
      </c>
      <c r="B899" t="s">
        <v>1922</v>
      </c>
      <c r="C899" s="1">
        <v>85000</v>
      </c>
      <c r="D899" s="1">
        <v>100000</v>
      </c>
      <c r="E899" s="2">
        <v>0.67</v>
      </c>
    </row>
    <row r="900" spans="1:5" x14ac:dyDescent="0.35">
      <c r="A900" t="s">
        <v>1923</v>
      </c>
      <c r="B900" t="s">
        <v>1924</v>
      </c>
      <c r="C900" s="1">
        <v>85000</v>
      </c>
      <c r="D900" s="1">
        <v>100000</v>
      </c>
      <c r="E900" s="2">
        <v>0.67</v>
      </c>
    </row>
    <row r="901" spans="1:5" x14ac:dyDescent="0.35">
      <c r="A901" t="s">
        <v>1925</v>
      </c>
      <c r="B901" t="s">
        <v>1926</v>
      </c>
      <c r="C901" s="1">
        <v>85000</v>
      </c>
      <c r="D901" s="1">
        <v>100000</v>
      </c>
      <c r="E901" s="2">
        <v>0.67</v>
      </c>
    </row>
    <row r="902" spans="1:5" x14ac:dyDescent="0.35">
      <c r="A902" t="s">
        <v>1927</v>
      </c>
      <c r="B902" t="s">
        <v>1928</v>
      </c>
      <c r="C902" s="1">
        <v>85000</v>
      </c>
      <c r="D902" s="1">
        <v>100000</v>
      </c>
      <c r="E902" s="2">
        <v>0.67</v>
      </c>
    </row>
    <row r="903" spans="1:5" x14ac:dyDescent="0.35">
      <c r="A903" t="s">
        <v>1929</v>
      </c>
      <c r="B903" t="s">
        <v>1930</v>
      </c>
      <c r="C903" s="1">
        <v>85000</v>
      </c>
      <c r="D903" s="1">
        <v>100000</v>
      </c>
      <c r="E903" s="2">
        <v>0.67</v>
      </c>
    </row>
    <row r="904" spans="1:5" x14ac:dyDescent="0.35">
      <c r="A904" t="s">
        <v>1931</v>
      </c>
      <c r="B904" t="s">
        <v>1932</v>
      </c>
      <c r="C904" s="1">
        <v>85000</v>
      </c>
      <c r="D904" s="1">
        <v>100000</v>
      </c>
      <c r="E904" s="2">
        <v>0.67</v>
      </c>
    </row>
    <row r="905" spans="1:5" x14ac:dyDescent="0.35">
      <c r="A905" t="s">
        <v>1933</v>
      </c>
      <c r="B905" t="s">
        <v>1934</v>
      </c>
      <c r="C905" s="1">
        <v>85000</v>
      </c>
      <c r="D905" s="1">
        <v>100000</v>
      </c>
      <c r="E905" s="2">
        <v>0.67</v>
      </c>
    </row>
    <row r="906" spans="1:5" x14ac:dyDescent="0.35">
      <c r="A906" t="s">
        <v>1935</v>
      </c>
      <c r="B906" t="s">
        <v>1936</v>
      </c>
      <c r="C906" s="1">
        <v>85000</v>
      </c>
      <c r="D906" s="1">
        <v>100000</v>
      </c>
      <c r="E906" s="2">
        <v>0.67</v>
      </c>
    </row>
    <row r="907" spans="1:5" x14ac:dyDescent="0.35">
      <c r="A907" t="s">
        <v>1937</v>
      </c>
      <c r="B907" t="s">
        <v>1938</v>
      </c>
      <c r="C907" s="1">
        <v>85000</v>
      </c>
      <c r="D907" s="1">
        <v>100000</v>
      </c>
      <c r="E907" s="2">
        <v>0.67</v>
      </c>
    </row>
    <row r="908" spans="1:5" x14ac:dyDescent="0.35">
      <c r="A908" t="s">
        <v>1939</v>
      </c>
      <c r="B908" t="s">
        <v>1940</v>
      </c>
      <c r="C908" s="1">
        <v>85000</v>
      </c>
      <c r="D908" s="1">
        <v>100000</v>
      </c>
      <c r="E908" s="2">
        <v>0.67</v>
      </c>
    </row>
    <row r="909" spans="1:5" x14ac:dyDescent="0.35">
      <c r="A909" t="s">
        <v>1941</v>
      </c>
      <c r="B909" t="s">
        <v>1942</v>
      </c>
      <c r="C909" s="1">
        <v>85000</v>
      </c>
      <c r="D909" s="1">
        <v>100000</v>
      </c>
      <c r="E909" s="2">
        <v>0.67</v>
      </c>
    </row>
    <row r="910" spans="1:5" x14ac:dyDescent="0.35">
      <c r="A910" t="s">
        <v>1943</v>
      </c>
      <c r="B910" t="s">
        <v>1944</v>
      </c>
      <c r="C910" s="1">
        <v>85000</v>
      </c>
      <c r="D910" s="1">
        <v>100000</v>
      </c>
      <c r="E910" s="2">
        <v>0.67</v>
      </c>
    </row>
    <row r="911" spans="1:5" x14ac:dyDescent="0.35">
      <c r="A911" t="s">
        <v>1945</v>
      </c>
      <c r="B911" t="s">
        <v>1946</v>
      </c>
      <c r="C911" s="1">
        <v>85000</v>
      </c>
      <c r="D911" s="1">
        <v>100000</v>
      </c>
      <c r="E911" s="2">
        <v>0.67</v>
      </c>
    </row>
    <row r="912" spans="1:5" x14ac:dyDescent="0.35">
      <c r="A912" t="s">
        <v>1947</v>
      </c>
      <c r="B912" t="s">
        <v>1948</v>
      </c>
      <c r="C912" s="1">
        <v>85000</v>
      </c>
      <c r="D912" s="1">
        <v>100000</v>
      </c>
      <c r="E912" s="2">
        <v>0.67</v>
      </c>
    </row>
    <row r="913" spans="1:5" x14ac:dyDescent="0.35">
      <c r="A913" t="s">
        <v>1949</v>
      </c>
      <c r="B913" t="s">
        <v>1950</v>
      </c>
      <c r="C913" s="1">
        <v>85000</v>
      </c>
      <c r="D913" s="1">
        <v>100000</v>
      </c>
      <c r="E913" s="2">
        <v>0.67</v>
      </c>
    </row>
    <row r="914" spans="1:5" x14ac:dyDescent="0.35">
      <c r="A914" t="s">
        <v>1951</v>
      </c>
      <c r="B914" t="s">
        <v>1952</v>
      </c>
      <c r="C914" s="1">
        <v>85000</v>
      </c>
      <c r="D914" s="1">
        <v>100000</v>
      </c>
      <c r="E914" s="2">
        <v>0.67</v>
      </c>
    </row>
    <row r="915" spans="1:5" x14ac:dyDescent="0.35">
      <c r="A915" t="s">
        <v>1953</v>
      </c>
      <c r="B915" t="s">
        <v>1954</v>
      </c>
      <c r="C915" s="1">
        <v>85000</v>
      </c>
      <c r="D915" s="1">
        <v>100000</v>
      </c>
      <c r="E915" s="2">
        <v>0.67</v>
      </c>
    </row>
    <row r="916" spans="1:5" x14ac:dyDescent="0.35">
      <c r="A916" t="s">
        <v>1955</v>
      </c>
      <c r="B916" t="s">
        <v>1956</v>
      </c>
      <c r="C916" s="1">
        <v>85000</v>
      </c>
      <c r="D916" s="1">
        <v>100000</v>
      </c>
      <c r="E916" s="2">
        <v>0.67</v>
      </c>
    </row>
    <row r="917" spans="1:5" x14ac:dyDescent="0.35">
      <c r="A917" t="s">
        <v>1957</v>
      </c>
      <c r="B917" t="s">
        <v>1958</v>
      </c>
      <c r="C917" s="1">
        <v>85000</v>
      </c>
      <c r="D917" s="1">
        <v>100000</v>
      </c>
      <c r="E917" s="2">
        <v>0.67</v>
      </c>
    </row>
    <row r="918" spans="1:5" x14ac:dyDescent="0.35">
      <c r="A918" t="s">
        <v>1959</v>
      </c>
      <c r="B918" t="s">
        <v>1960</v>
      </c>
      <c r="C918" s="1">
        <v>85000</v>
      </c>
      <c r="D918" s="1">
        <v>100000</v>
      </c>
      <c r="E918" s="2">
        <v>0.67</v>
      </c>
    </row>
    <row r="919" spans="1:5" x14ac:dyDescent="0.35">
      <c r="A919" t="s">
        <v>1961</v>
      </c>
      <c r="B919" t="s">
        <v>1962</v>
      </c>
      <c r="C919" s="1">
        <v>85000</v>
      </c>
      <c r="D919" s="1">
        <v>100000</v>
      </c>
      <c r="E919" s="2">
        <v>0.67</v>
      </c>
    </row>
    <row r="920" spans="1:5" x14ac:dyDescent="0.35">
      <c r="A920" t="s">
        <v>1963</v>
      </c>
      <c r="B920" t="s">
        <v>1964</v>
      </c>
      <c r="C920" s="1">
        <v>85000</v>
      </c>
      <c r="D920" s="1">
        <v>100000</v>
      </c>
      <c r="E920" s="2">
        <v>0.67</v>
      </c>
    </row>
    <row r="921" spans="1:5" x14ac:dyDescent="0.35">
      <c r="A921" t="s">
        <v>1965</v>
      </c>
      <c r="B921" t="s">
        <v>1966</v>
      </c>
      <c r="C921" s="1">
        <v>85000</v>
      </c>
      <c r="D921" s="1">
        <v>100000</v>
      </c>
      <c r="E921" s="2">
        <v>0.67</v>
      </c>
    </row>
    <row r="922" spans="1:5" x14ac:dyDescent="0.35">
      <c r="A922" t="s">
        <v>1967</v>
      </c>
      <c r="B922" t="s">
        <v>1968</v>
      </c>
      <c r="C922" s="1">
        <v>85000</v>
      </c>
      <c r="D922" s="1">
        <v>100000</v>
      </c>
      <c r="E922" s="2">
        <v>0.67</v>
      </c>
    </row>
    <row r="923" spans="1:5" x14ac:dyDescent="0.35">
      <c r="A923" t="s">
        <v>1969</v>
      </c>
      <c r="B923" t="s">
        <v>1970</v>
      </c>
      <c r="C923" s="1">
        <v>85000</v>
      </c>
      <c r="D923" s="1">
        <v>100000</v>
      </c>
      <c r="E923" s="2">
        <v>0.67</v>
      </c>
    </row>
    <row r="924" spans="1:5" x14ac:dyDescent="0.35">
      <c r="A924" t="s">
        <v>1971</v>
      </c>
      <c r="B924" t="s">
        <v>1972</v>
      </c>
      <c r="C924" s="1">
        <v>85000</v>
      </c>
      <c r="D924" s="1">
        <v>100000</v>
      </c>
      <c r="E924" s="2">
        <v>0.67</v>
      </c>
    </row>
    <row r="925" spans="1:5" x14ac:dyDescent="0.35">
      <c r="A925" t="s">
        <v>1973</v>
      </c>
      <c r="B925" t="s">
        <v>1974</v>
      </c>
      <c r="C925" s="1">
        <v>85000</v>
      </c>
      <c r="D925" s="1">
        <v>100000</v>
      </c>
      <c r="E925" s="2">
        <v>0.67</v>
      </c>
    </row>
    <row r="926" spans="1:5" x14ac:dyDescent="0.35">
      <c r="A926" t="s">
        <v>1975</v>
      </c>
      <c r="B926" t="s">
        <v>1976</v>
      </c>
      <c r="C926" s="1">
        <v>85000</v>
      </c>
      <c r="D926" s="1">
        <v>100000</v>
      </c>
      <c r="E926" s="2">
        <v>0.67</v>
      </c>
    </row>
    <row r="927" spans="1:5" x14ac:dyDescent="0.35">
      <c r="A927" t="s">
        <v>1977</v>
      </c>
      <c r="B927" t="s">
        <v>1978</v>
      </c>
      <c r="C927" s="1">
        <v>85000</v>
      </c>
      <c r="D927" s="1">
        <v>100000</v>
      </c>
      <c r="E927" s="2">
        <v>0.67</v>
      </c>
    </row>
    <row r="928" spans="1:5" x14ac:dyDescent="0.35">
      <c r="A928" t="s">
        <v>1979</v>
      </c>
      <c r="B928" t="s">
        <v>1980</v>
      </c>
      <c r="C928" s="1">
        <v>85000</v>
      </c>
      <c r="D928" s="1">
        <v>100000</v>
      </c>
      <c r="E928" s="2">
        <v>0.67</v>
      </c>
    </row>
    <row r="929" spans="1:5" x14ac:dyDescent="0.35">
      <c r="A929" t="s">
        <v>1981</v>
      </c>
      <c r="B929" t="s">
        <v>1982</v>
      </c>
      <c r="C929" s="1">
        <v>85000</v>
      </c>
      <c r="D929" s="1">
        <v>100000</v>
      </c>
      <c r="E929" s="2">
        <v>0.67</v>
      </c>
    </row>
    <row r="930" spans="1:5" x14ac:dyDescent="0.35">
      <c r="A930" t="s">
        <v>1983</v>
      </c>
      <c r="B930" t="s">
        <v>1984</v>
      </c>
      <c r="C930" s="1">
        <v>85000</v>
      </c>
      <c r="D930" s="1">
        <v>100000</v>
      </c>
      <c r="E930" s="2">
        <v>0.78</v>
      </c>
    </row>
    <row r="931" spans="1:5" x14ac:dyDescent="0.35">
      <c r="A931" t="s">
        <v>1985</v>
      </c>
      <c r="B931" t="s">
        <v>1986</v>
      </c>
      <c r="C931" s="1">
        <v>85000</v>
      </c>
      <c r="D931" s="1">
        <v>100000</v>
      </c>
      <c r="E931" s="2">
        <v>0.78</v>
      </c>
    </row>
    <row r="932" spans="1:5" x14ac:dyDescent="0.35">
      <c r="A932" t="s">
        <v>1987</v>
      </c>
      <c r="B932" t="s">
        <v>1988</v>
      </c>
      <c r="C932" s="1">
        <v>85000</v>
      </c>
      <c r="D932" s="1">
        <v>100000</v>
      </c>
      <c r="E932" s="2">
        <v>0.78</v>
      </c>
    </row>
    <row r="933" spans="1:5" x14ac:dyDescent="0.35">
      <c r="A933" t="s">
        <v>1989</v>
      </c>
      <c r="B933" t="s">
        <v>1990</v>
      </c>
      <c r="C933" s="1">
        <v>85000</v>
      </c>
      <c r="D933" s="1">
        <v>100000</v>
      </c>
      <c r="E933" s="2">
        <v>0.78</v>
      </c>
    </row>
    <row r="934" spans="1:5" x14ac:dyDescent="0.35">
      <c r="A934" t="s">
        <v>1991</v>
      </c>
      <c r="B934" t="s">
        <v>1992</v>
      </c>
      <c r="C934" s="1">
        <v>85000</v>
      </c>
      <c r="D934" s="1">
        <v>100000</v>
      </c>
      <c r="E934" s="2">
        <v>0.78</v>
      </c>
    </row>
    <row r="935" spans="1:5" x14ac:dyDescent="0.35">
      <c r="A935" t="s">
        <v>1993</v>
      </c>
      <c r="B935" t="s">
        <v>1994</v>
      </c>
      <c r="C935" s="1">
        <v>85000</v>
      </c>
      <c r="D935" s="1">
        <v>100000</v>
      </c>
      <c r="E935" s="2">
        <v>0.78</v>
      </c>
    </row>
    <row r="936" spans="1:5" x14ac:dyDescent="0.35">
      <c r="A936" t="s">
        <v>1995</v>
      </c>
      <c r="B936" t="s">
        <v>1996</v>
      </c>
      <c r="C936" s="1">
        <v>85000</v>
      </c>
      <c r="D936" s="1">
        <v>100000</v>
      </c>
      <c r="E936" s="2">
        <v>0.78</v>
      </c>
    </row>
    <row r="937" spans="1:5" x14ac:dyDescent="0.35">
      <c r="A937" t="s">
        <v>1997</v>
      </c>
      <c r="B937" t="s">
        <v>1998</v>
      </c>
      <c r="C937" s="1">
        <v>85000</v>
      </c>
      <c r="D937" s="1">
        <v>100000</v>
      </c>
      <c r="E937" s="2">
        <v>0.78</v>
      </c>
    </row>
    <row r="938" spans="1:5" x14ac:dyDescent="0.35">
      <c r="A938" t="s">
        <v>1999</v>
      </c>
      <c r="B938" t="s">
        <v>2000</v>
      </c>
      <c r="C938" s="1">
        <v>85000</v>
      </c>
      <c r="D938" s="1">
        <v>100000</v>
      </c>
      <c r="E938" s="2">
        <v>0.78</v>
      </c>
    </row>
    <row r="939" spans="1:5" x14ac:dyDescent="0.35">
      <c r="A939" t="s">
        <v>2001</v>
      </c>
      <c r="B939" t="s">
        <v>2002</v>
      </c>
      <c r="C939" s="1">
        <v>85000</v>
      </c>
      <c r="D939" s="1">
        <v>100000</v>
      </c>
      <c r="E939" s="2">
        <v>0.78</v>
      </c>
    </row>
    <row r="940" spans="1:5" x14ac:dyDescent="0.35">
      <c r="A940" t="s">
        <v>2003</v>
      </c>
      <c r="B940" t="s">
        <v>2004</v>
      </c>
      <c r="C940" s="1">
        <v>85000</v>
      </c>
      <c r="D940" s="1">
        <v>100000</v>
      </c>
      <c r="E940" s="2">
        <v>0.78</v>
      </c>
    </row>
    <row r="941" spans="1:5" x14ac:dyDescent="0.35">
      <c r="A941" t="s">
        <v>2005</v>
      </c>
      <c r="B941" t="s">
        <v>2006</v>
      </c>
      <c r="C941" s="1">
        <v>85000</v>
      </c>
      <c r="D941" s="1">
        <v>100000</v>
      </c>
      <c r="E941" s="2">
        <v>0.78</v>
      </c>
    </row>
    <row r="942" spans="1:5" x14ac:dyDescent="0.35">
      <c r="A942" t="s">
        <v>2007</v>
      </c>
      <c r="B942" t="s">
        <v>2008</v>
      </c>
      <c r="C942" s="1">
        <v>85000</v>
      </c>
      <c r="D942" s="1">
        <v>100000</v>
      </c>
      <c r="E942" s="2">
        <v>0.78</v>
      </c>
    </row>
    <row r="943" spans="1:5" x14ac:dyDescent="0.35">
      <c r="A943" t="s">
        <v>2009</v>
      </c>
      <c r="B943" t="s">
        <v>2010</v>
      </c>
      <c r="C943" s="1">
        <v>85000</v>
      </c>
      <c r="D943" s="1">
        <v>100000</v>
      </c>
      <c r="E943" s="2">
        <v>0.78</v>
      </c>
    </row>
    <row r="944" spans="1:5" x14ac:dyDescent="0.35">
      <c r="A944" t="s">
        <v>2011</v>
      </c>
      <c r="B944" t="s">
        <v>2012</v>
      </c>
      <c r="C944" s="1">
        <v>85000</v>
      </c>
      <c r="D944" s="1">
        <v>100000</v>
      </c>
      <c r="E944" s="2">
        <v>0.78</v>
      </c>
    </row>
    <row r="945" spans="1:5" x14ac:dyDescent="0.35">
      <c r="A945" t="s">
        <v>2013</v>
      </c>
      <c r="B945" t="s">
        <v>2014</v>
      </c>
      <c r="C945" s="1">
        <v>85000</v>
      </c>
      <c r="D945" s="1">
        <v>100000</v>
      </c>
      <c r="E945" s="2">
        <v>0.78</v>
      </c>
    </row>
    <row r="946" spans="1:5" x14ac:dyDescent="0.35">
      <c r="A946" t="s">
        <v>2015</v>
      </c>
      <c r="B946" t="s">
        <v>2016</v>
      </c>
      <c r="C946" s="1">
        <v>85000</v>
      </c>
      <c r="D946" s="1">
        <v>100000</v>
      </c>
      <c r="E946" s="2">
        <v>0.78</v>
      </c>
    </row>
    <row r="947" spans="1:5" x14ac:dyDescent="0.35">
      <c r="A947" t="s">
        <v>2017</v>
      </c>
      <c r="B947" t="s">
        <v>2018</v>
      </c>
      <c r="C947" s="1">
        <v>85000</v>
      </c>
      <c r="D947" s="1">
        <v>100000</v>
      </c>
      <c r="E947" s="2">
        <v>0.78</v>
      </c>
    </row>
    <row r="948" spans="1:5" x14ac:dyDescent="0.35">
      <c r="A948" t="s">
        <v>2019</v>
      </c>
      <c r="B948" t="s">
        <v>2020</v>
      </c>
      <c r="C948" s="1">
        <v>85000</v>
      </c>
      <c r="D948" s="1">
        <v>100000</v>
      </c>
      <c r="E948" s="2">
        <v>0.78</v>
      </c>
    </row>
    <row r="949" spans="1:5" x14ac:dyDescent="0.35">
      <c r="A949" t="s">
        <v>2021</v>
      </c>
      <c r="B949" t="s">
        <v>2022</v>
      </c>
      <c r="C949" s="1">
        <v>85000</v>
      </c>
      <c r="D949" s="1">
        <v>100000</v>
      </c>
      <c r="E949" s="2">
        <v>0.78</v>
      </c>
    </row>
    <row r="950" spans="1:5" x14ac:dyDescent="0.35">
      <c r="A950" t="s">
        <v>2023</v>
      </c>
      <c r="B950" t="s">
        <v>2024</v>
      </c>
      <c r="C950" s="1">
        <v>85000</v>
      </c>
      <c r="D950" s="1">
        <v>100000</v>
      </c>
      <c r="E950" s="2">
        <v>0.78</v>
      </c>
    </row>
    <row r="951" spans="1:5" x14ac:dyDescent="0.35">
      <c r="A951" t="s">
        <v>2025</v>
      </c>
      <c r="B951" t="s">
        <v>2026</v>
      </c>
      <c r="C951" s="1">
        <v>85000</v>
      </c>
      <c r="D951" s="1">
        <v>100000</v>
      </c>
      <c r="E951" s="2">
        <v>0.78</v>
      </c>
    </row>
    <row r="952" spans="1:5" x14ac:dyDescent="0.35">
      <c r="A952" t="s">
        <v>2027</v>
      </c>
      <c r="B952" t="s">
        <v>2028</v>
      </c>
      <c r="C952" s="1">
        <v>85000</v>
      </c>
      <c r="D952" s="1">
        <v>100000</v>
      </c>
      <c r="E952" s="2">
        <v>0.78</v>
      </c>
    </row>
    <row r="953" spans="1:5" x14ac:dyDescent="0.35">
      <c r="A953" t="s">
        <v>2029</v>
      </c>
      <c r="B953" t="s">
        <v>2030</v>
      </c>
      <c r="C953" s="1">
        <v>85000</v>
      </c>
      <c r="D953" s="1">
        <v>100000</v>
      </c>
      <c r="E953" s="2">
        <v>0.78</v>
      </c>
    </row>
    <row r="954" spans="1:5" x14ac:dyDescent="0.35">
      <c r="A954" t="s">
        <v>2031</v>
      </c>
      <c r="B954" t="s">
        <v>2032</v>
      </c>
      <c r="C954" s="1">
        <v>85000</v>
      </c>
      <c r="D954" s="1">
        <v>100000</v>
      </c>
      <c r="E954" s="2">
        <v>0.78</v>
      </c>
    </row>
    <row r="955" spans="1:5" x14ac:dyDescent="0.35">
      <c r="A955" t="s">
        <v>2033</v>
      </c>
      <c r="B955" t="s">
        <v>2034</v>
      </c>
      <c r="C955" s="1">
        <v>85000</v>
      </c>
      <c r="D955" s="1">
        <v>100000</v>
      </c>
      <c r="E955" s="2">
        <v>0.78</v>
      </c>
    </row>
    <row r="956" spans="1:5" x14ac:dyDescent="0.35">
      <c r="A956" t="s">
        <v>2035</v>
      </c>
      <c r="B956" t="s">
        <v>2036</v>
      </c>
      <c r="C956" s="1">
        <v>85000</v>
      </c>
      <c r="D956" s="1">
        <v>100000</v>
      </c>
      <c r="E956" s="2">
        <v>0.78</v>
      </c>
    </row>
    <row r="957" spans="1:5" x14ac:dyDescent="0.35">
      <c r="A957" t="s">
        <v>2037</v>
      </c>
      <c r="B957" t="s">
        <v>2038</v>
      </c>
      <c r="C957" s="1">
        <v>85000</v>
      </c>
      <c r="D957" s="1">
        <v>100000</v>
      </c>
      <c r="E957" s="2">
        <v>0.78</v>
      </c>
    </row>
    <row r="958" spans="1:5" x14ac:dyDescent="0.35">
      <c r="A958" t="s">
        <v>2039</v>
      </c>
      <c r="B958" t="s">
        <v>2040</v>
      </c>
      <c r="C958" s="1">
        <v>85000</v>
      </c>
      <c r="D958" s="1">
        <v>100000</v>
      </c>
      <c r="E958" s="2">
        <v>0.78</v>
      </c>
    </row>
    <row r="959" spans="1:5" x14ac:dyDescent="0.35">
      <c r="A959" t="s">
        <v>2041</v>
      </c>
      <c r="B959" t="s">
        <v>2042</v>
      </c>
      <c r="C959" s="1">
        <v>85000</v>
      </c>
      <c r="D959" s="1">
        <v>100000</v>
      </c>
      <c r="E959" s="2">
        <v>0.78</v>
      </c>
    </row>
    <row r="960" spans="1:5" x14ac:dyDescent="0.35">
      <c r="A960" t="s">
        <v>2043</v>
      </c>
      <c r="B960" t="s">
        <v>2044</v>
      </c>
      <c r="C960" s="1">
        <v>85000</v>
      </c>
      <c r="D960" s="1">
        <v>100000</v>
      </c>
      <c r="E960" s="2">
        <v>0.78</v>
      </c>
    </row>
    <row r="961" spans="1:5" x14ac:dyDescent="0.35">
      <c r="A961" t="s">
        <v>2045</v>
      </c>
      <c r="B961" t="s">
        <v>2046</v>
      </c>
      <c r="C961" s="1">
        <v>85000</v>
      </c>
      <c r="D961" s="1">
        <v>100000</v>
      </c>
      <c r="E961" s="2">
        <v>0.78</v>
      </c>
    </row>
    <row r="962" spans="1:5" x14ac:dyDescent="0.35">
      <c r="A962" t="s">
        <v>2047</v>
      </c>
      <c r="B962" t="s">
        <v>2048</v>
      </c>
      <c r="C962" s="1">
        <v>85000</v>
      </c>
      <c r="D962" s="1">
        <v>100000</v>
      </c>
      <c r="E962" s="2">
        <v>0.78</v>
      </c>
    </row>
    <row r="963" spans="1:5" x14ac:dyDescent="0.35">
      <c r="A963" t="s">
        <v>2049</v>
      </c>
      <c r="B963" t="s">
        <v>2050</v>
      </c>
      <c r="C963" s="1">
        <v>85000</v>
      </c>
      <c r="D963" s="1">
        <v>100000</v>
      </c>
      <c r="E963" s="2">
        <v>0.78</v>
      </c>
    </row>
    <row r="964" spans="1:5" x14ac:dyDescent="0.35">
      <c r="A964" t="s">
        <v>2051</v>
      </c>
      <c r="B964" t="s">
        <v>2052</v>
      </c>
      <c r="C964" s="1">
        <v>85000</v>
      </c>
      <c r="D964" s="1">
        <v>100000</v>
      </c>
      <c r="E964" s="2">
        <v>0.78</v>
      </c>
    </row>
    <row r="965" spans="1:5" x14ac:dyDescent="0.35">
      <c r="A965" t="s">
        <v>2053</v>
      </c>
      <c r="B965" t="s">
        <v>2054</v>
      </c>
      <c r="C965" s="1">
        <v>85000</v>
      </c>
      <c r="D965" s="1">
        <v>100000</v>
      </c>
      <c r="E965" s="2">
        <v>0.78</v>
      </c>
    </row>
    <row r="966" spans="1:5" x14ac:dyDescent="0.35">
      <c r="A966" t="s">
        <v>2055</v>
      </c>
      <c r="B966" t="s">
        <v>2056</v>
      </c>
      <c r="C966" s="1">
        <v>85000</v>
      </c>
      <c r="D966" s="1">
        <v>100000</v>
      </c>
      <c r="E966" s="2">
        <v>0.78</v>
      </c>
    </row>
    <row r="967" spans="1:5" x14ac:dyDescent="0.35">
      <c r="A967" t="s">
        <v>2057</v>
      </c>
      <c r="B967" t="s">
        <v>2058</v>
      </c>
      <c r="C967" s="1">
        <v>85000</v>
      </c>
      <c r="D967" s="1">
        <v>100000</v>
      </c>
      <c r="E967" s="2">
        <v>0.78</v>
      </c>
    </row>
    <row r="968" spans="1:5" x14ac:dyDescent="0.35">
      <c r="A968" t="s">
        <v>2059</v>
      </c>
      <c r="B968" t="s">
        <v>2060</v>
      </c>
      <c r="C968" s="1">
        <v>85000</v>
      </c>
      <c r="D968" s="1">
        <v>100000</v>
      </c>
      <c r="E968" s="2">
        <v>0.78</v>
      </c>
    </row>
    <row r="969" spans="1:5" x14ac:dyDescent="0.35">
      <c r="A969" t="s">
        <v>2061</v>
      </c>
      <c r="B969" t="s">
        <v>2062</v>
      </c>
      <c r="C969" s="1">
        <v>85000</v>
      </c>
      <c r="D969" s="1">
        <v>100000</v>
      </c>
      <c r="E969" s="2">
        <v>0.86</v>
      </c>
    </row>
    <row r="970" spans="1:5" x14ac:dyDescent="0.35">
      <c r="A970" t="s">
        <v>2063</v>
      </c>
      <c r="B970" t="s">
        <v>2064</v>
      </c>
      <c r="C970" s="1">
        <v>85000</v>
      </c>
      <c r="D970" s="1">
        <v>100000</v>
      </c>
      <c r="E970" s="2">
        <v>0.86</v>
      </c>
    </row>
    <row r="971" spans="1:5" x14ac:dyDescent="0.35">
      <c r="A971" t="s">
        <v>2065</v>
      </c>
      <c r="B971" t="s">
        <v>2066</v>
      </c>
      <c r="C971" s="1">
        <v>85000</v>
      </c>
      <c r="D971" s="1">
        <v>100000</v>
      </c>
      <c r="E971" s="2">
        <v>0.86</v>
      </c>
    </row>
    <row r="972" spans="1:5" x14ac:dyDescent="0.35">
      <c r="A972" t="s">
        <v>2067</v>
      </c>
      <c r="B972" t="s">
        <v>2068</v>
      </c>
      <c r="C972" s="1">
        <v>85000</v>
      </c>
      <c r="D972" s="1">
        <v>100000</v>
      </c>
      <c r="E972" s="2">
        <v>0.86</v>
      </c>
    </row>
    <row r="973" spans="1:5" x14ac:dyDescent="0.35">
      <c r="A973" t="s">
        <v>2069</v>
      </c>
      <c r="B973" t="s">
        <v>2070</v>
      </c>
      <c r="C973" s="1">
        <v>85000</v>
      </c>
      <c r="D973" s="1">
        <v>100000</v>
      </c>
      <c r="E973" s="2">
        <v>0.86</v>
      </c>
    </row>
    <row r="974" spans="1:5" x14ac:dyDescent="0.35">
      <c r="A974" t="s">
        <v>2557</v>
      </c>
      <c r="B974" t="s">
        <v>2558</v>
      </c>
      <c r="C974" s="1">
        <v>85000</v>
      </c>
      <c r="D974" s="1">
        <v>100000</v>
      </c>
      <c r="E974" s="2">
        <v>0.78</v>
      </c>
    </row>
    <row r="975" spans="1:5" x14ac:dyDescent="0.35">
      <c r="A975" t="s">
        <v>2559</v>
      </c>
      <c r="B975" t="s">
        <v>2560</v>
      </c>
      <c r="C975" s="1">
        <v>85000</v>
      </c>
      <c r="D975" s="1">
        <v>100000</v>
      </c>
      <c r="E975" s="2">
        <v>0.78</v>
      </c>
    </row>
    <row r="976" spans="1:5" x14ac:dyDescent="0.35">
      <c r="A976" t="s">
        <v>2561</v>
      </c>
      <c r="B976" t="s">
        <v>2562</v>
      </c>
      <c r="C976" s="1">
        <v>85000</v>
      </c>
      <c r="D976" s="1">
        <v>100000</v>
      </c>
      <c r="E976" s="2">
        <v>0.78</v>
      </c>
    </row>
    <row r="977" spans="1:5" x14ac:dyDescent="0.35">
      <c r="A977" t="s">
        <v>2563</v>
      </c>
      <c r="B977" t="s">
        <v>2564</v>
      </c>
      <c r="C977" s="1">
        <v>85000</v>
      </c>
      <c r="D977" s="1">
        <v>100000</v>
      </c>
      <c r="E977" s="2">
        <v>0.78</v>
      </c>
    </row>
    <row r="978" spans="1:5" x14ac:dyDescent="0.35">
      <c r="A978" t="s">
        <v>2565</v>
      </c>
      <c r="B978" t="s">
        <v>2566</v>
      </c>
      <c r="C978" s="1">
        <v>85000</v>
      </c>
      <c r="D978" s="1">
        <v>100000</v>
      </c>
      <c r="E978" s="2">
        <v>0.78</v>
      </c>
    </row>
    <row r="979" spans="1:5" x14ac:dyDescent="0.35">
      <c r="A979" t="s">
        <v>2567</v>
      </c>
      <c r="B979" t="s">
        <v>2568</v>
      </c>
      <c r="C979" s="1">
        <v>85000</v>
      </c>
      <c r="D979" s="1">
        <v>100000</v>
      </c>
      <c r="E979" s="2">
        <v>0.78</v>
      </c>
    </row>
    <row r="980" spans="1:5" x14ac:dyDescent="0.35">
      <c r="A980" t="s">
        <v>2569</v>
      </c>
      <c r="B980" t="s">
        <v>2570</v>
      </c>
      <c r="C980" s="1">
        <v>85000</v>
      </c>
      <c r="D980" s="1">
        <v>100000</v>
      </c>
      <c r="E980" s="2">
        <v>0.78</v>
      </c>
    </row>
    <row r="981" spans="1:5" x14ac:dyDescent="0.35">
      <c r="A981" t="s">
        <v>2571</v>
      </c>
      <c r="B981" t="s">
        <v>2572</v>
      </c>
      <c r="C981" s="1">
        <v>85000</v>
      </c>
      <c r="D981" s="1">
        <v>100000</v>
      </c>
      <c r="E981" s="2">
        <v>0.78</v>
      </c>
    </row>
    <row r="982" spans="1:5" x14ac:dyDescent="0.35">
      <c r="A982" t="s">
        <v>2071</v>
      </c>
      <c r="B982" t="s">
        <v>2072</v>
      </c>
      <c r="C982" s="1">
        <v>85000</v>
      </c>
      <c r="D982" s="1">
        <v>100000</v>
      </c>
      <c r="E982" s="2">
        <v>0.78</v>
      </c>
    </row>
    <row r="983" spans="1:5" x14ac:dyDescent="0.35">
      <c r="A983" t="s">
        <v>2073</v>
      </c>
      <c r="B983" t="s">
        <v>2074</v>
      </c>
      <c r="C983" s="1">
        <v>85000</v>
      </c>
      <c r="D983" s="1">
        <v>100000</v>
      </c>
      <c r="E983" s="2">
        <v>0.78</v>
      </c>
    </row>
    <row r="984" spans="1:5" x14ac:dyDescent="0.35">
      <c r="A984" t="s">
        <v>2075</v>
      </c>
      <c r="B984" t="s">
        <v>2076</v>
      </c>
      <c r="C984" s="1">
        <v>85000</v>
      </c>
      <c r="D984" s="1">
        <v>100000</v>
      </c>
      <c r="E984" s="2">
        <v>0.78</v>
      </c>
    </row>
    <row r="985" spans="1:5" x14ac:dyDescent="0.35">
      <c r="A985" t="s">
        <v>2077</v>
      </c>
      <c r="B985" t="s">
        <v>2078</v>
      </c>
      <c r="C985" s="1">
        <v>85000</v>
      </c>
      <c r="D985" s="1">
        <v>100000</v>
      </c>
      <c r="E985" s="2">
        <v>0.78</v>
      </c>
    </row>
    <row r="986" spans="1:5" x14ac:dyDescent="0.35">
      <c r="A986" t="s">
        <v>2079</v>
      </c>
      <c r="B986" t="s">
        <v>2080</v>
      </c>
      <c r="C986" s="1">
        <v>85000</v>
      </c>
      <c r="D986" s="1">
        <v>100000</v>
      </c>
      <c r="E986" s="2">
        <v>0.78</v>
      </c>
    </row>
    <row r="987" spans="1:5" x14ac:dyDescent="0.35">
      <c r="A987" t="s">
        <v>2081</v>
      </c>
      <c r="B987" t="s">
        <v>2082</v>
      </c>
      <c r="C987" s="1">
        <v>85000</v>
      </c>
      <c r="D987" s="1">
        <v>100000</v>
      </c>
      <c r="E987" s="2">
        <v>0.78</v>
      </c>
    </row>
    <row r="988" spans="1:5" x14ac:dyDescent="0.35">
      <c r="A988" t="s">
        <v>2083</v>
      </c>
      <c r="B988" t="s">
        <v>2084</v>
      </c>
      <c r="C988" s="1">
        <v>85000</v>
      </c>
      <c r="D988" s="1">
        <v>100000</v>
      </c>
      <c r="E988" s="2">
        <v>0.78</v>
      </c>
    </row>
    <row r="989" spans="1:5" x14ac:dyDescent="0.35">
      <c r="A989" t="s">
        <v>2085</v>
      </c>
      <c r="B989" t="s">
        <v>2086</v>
      </c>
      <c r="C989" s="1">
        <v>85000</v>
      </c>
      <c r="D989" s="1">
        <v>100000</v>
      </c>
      <c r="E989" s="2">
        <v>0.78</v>
      </c>
    </row>
    <row r="990" spans="1:5" x14ac:dyDescent="0.35">
      <c r="A990" t="s">
        <v>2087</v>
      </c>
      <c r="B990" t="s">
        <v>2088</v>
      </c>
      <c r="C990" s="1">
        <v>85000</v>
      </c>
      <c r="D990" s="1">
        <v>100000</v>
      </c>
      <c r="E990" s="2">
        <v>0.78</v>
      </c>
    </row>
    <row r="991" spans="1:5" x14ac:dyDescent="0.35">
      <c r="A991" t="s">
        <v>2089</v>
      </c>
      <c r="B991" t="s">
        <v>2090</v>
      </c>
      <c r="C991" s="1">
        <v>85000</v>
      </c>
      <c r="D991" s="1">
        <v>100000</v>
      </c>
      <c r="E991" s="2">
        <v>0.78</v>
      </c>
    </row>
    <row r="992" spans="1:5" x14ac:dyDescent="0.35">
      <c r="A992" t="s">
        <v>2091</v>
      </c>
      <c r="B992" t="s">
        <v>2092</v>
      </c>
      <c r="C992" s="1">
        <v>85000</v>
      </c>
      <c r="D992" s="1">
        <v>100000</v>
      </c>
      <c r="E992" s="2">
        <v>0.78</v>
      </c>
    </row>
    <row r="993" spans="1:5" x14ac:dyDescent="0.35">
      <c r="A993" t="s">
        <v>2093</v>
      </c>
      <c r="B993" t="s">
        <v>2094</v>
      </c>
      <c r="C993" s="1">
        <v>85000</v>
      </c>
      <c r="D993" s="1">
        <v>100000</v>
      </c>
      <c r="E993" s="2">
        <v>0.78</v>
      </c>
    </row>
    <row r="994" spans="1:5" x14ac:dyDescent="0.35">
      <c r="A994" t="s">
        <v>2095</v>
      </c>
      <c r="B994" t="s">
        <v>2096</v>
      </c>
      <c r="C994" s="1">
        <v>85000</v>
      </c>
      <c r="D994" s="1">
        <v>100000</v>
      </c>
      <c r="E994" s="2">
        <v>0.78</v>
      </c>
    </row>
    <row r="995" spans="1:5" x14ac:dyDescent="0.35">
      <c r="A995" t="s">
        <v>2097</v>
      </c>
      <c r="B995" t="s">
        <v>2098</v>
      </c>
      <c r="C995" s="1">
        <v>85000</v>
      </c>
      <c r="D995" s="1">
        <v>100000</v>
      </c>
      <c r="E995" s="2">
        <v>0.78</v>
      </c>
    </row>
    <row r="996" spans="1:5" x14ac:dyDescent="0.35">
      <c r="A996" t="s">
        <v>2099</v>
      </c>
      <c r="B996" t="s">
        <v>2100</v>
      </c>
      <c r="C996" s="1">
        <v>85000</v>
      </c>
      <c r="D996" s="1">
        <v>100000</v>
      </c>
      <c r="E996" s="2">
        <v>0.78</v>
      </c>
    </row>
    <row r="997" spans="1:5" x14ac:dyDescent="0.35">
      <c r="A997" t="s">
        <v>2101</v>
      </c>
      <c r="B997" t="s">
        <v>2102</v>
      </c>
      <c r="C997" s="1">
        <v>85000</v>
      </c>
      <c r="D997" s="1">
        <v>100000</v>
      </c>
      <c r="E997" s="2">
        <v>0.78</v>
      </c>
    </row>
    <row r="998" spans="1:5" x14ac:dyDescent="0.35">
      <c r="A998" t="s">
        <v>2103</v>
      </c>
      <c r="B998" t="s">
        <v>2104</v>
      </c>
      <c r="C998" s="1">
        <v>85000</v>
      </c>
      <c r="D998" s="1">
        <v>100000</v>
      </c>
      <c r="E998" s="2">
        <v>0.78</v>
      </c>
    </row>
    <row r="999" spans="1:5" x14ac:dyDescent="0.35">
      <c r="A999" t="s">
        <v>2105</v>
      </c>
      <c r="B999" t="s">
        <v>2106</v>
      </c>
      <c r="C999" s="1">
        <v>85000</v>
      </c>
      <c r="D999" s="1">
        <v>100000</v>
      </c>
      <c r="E999" s="2">
        <v>0.78</v>
      </c>
    </row>
    <row r="1000" spans="1:5" x14ac:dyDescent="0.35">
      <c r="A1000" t="s">
        <v>2107</v>
      </c>
      <c r="B1000" t="s">
        <v>2108</v>
      </c>
      <c r="C1000" s="1">
        <v>85000</v>
      </c>
      <c r="D1000" s="1">
        <v>100000</v>
      </c>
      <c r="E1000" s="2">
        <v>0.78</v>
      </c>
    </row>
    <row r="1001" spans="1:5" x14ac:dyDescent="0.35">
      <c r="A1001" t="s">
        <v>2109</v>
      </c>
      <c r="B1001" t="s">
        <v>2110</v>
      </c>
      <c r="C1001" s="1">
        <v>85000</v>
      </c>
      <c r="D1001" s="1">
        <v>100000</v>
      </c>
      <c r="E1001" s="2">
        <v>0.78</v>
      </c>
    </row>
    <row r="1002" spans="1:5" x14ac:dyDescent="0.35">
      <c r="A1002" t="s">
        <v>2111</v>
      </c>
      <c r="B1002" t="s">
        <v>2112</v>
      </c>
      <c r="C1002" s="1">
        <v>85000</v>
      </c>
      <c r="D1002" s="1">
        <v>100000</v>
      </c>
      <c r="E1002" s="2">
        <v>0.78</v>
      </c>
    </row>
    <row r="1003" spans="1:5" x14ac:dyDescent="0.35">
      <c r="A1003" t="s">
        <v>2113</v>
      </c>
      <c r="B1003" t="s">
        <v>2114</v>
      </c>
      <c r="C1003" s="1">
        <v>85000</v>
      </c>
      <c r="D1003" s="1">
        <v>100000</v>
      </c>
      <c r="E1003" s="2">
        <v>0.78</v>
      </c>
    </row>
    <row r="1004" spans="1:5" x14ac:dyDescent="0.35">
      <c r="A1004" t="s">
        <v>2115</v>
      </c>
      <c r="B1004" t="s">
        <v>2116</v>
      </c>
      <c r="C1004" s="1">
        <v>85000</v>
      </c>
      <c r="D1004" s="1">
        <v>100000</v>
      </c>
      <c r="E1004" s="2">
        <v>0.78</v>
      </c>
    </row>
    <row r="1005" spans="1:5" x14ac:dyDescent="0.35">
      <c r="A1005" t="s">
        <v>2117</v>
      </c>
      <c r="B1005" t="s">
        <v>2118</v>
      </c>
      <c r="C1005" s="1">
        <v>85000</v>
      </c>
      <c r="D1005" s="1">
        <v>100000</v>
      </c>
      <c r="E1005" s="2">
        <v>0.78</v>
      </c>
    </row>
    <row r="1006" spans="1:5" x14ac:dyDescent="0.35">
      <c r="A1006" t="s">
        <v>2119</v>
      </c>
      <c r="B1006" t="s">
        <v>2120</v>
      </c>
      <c r="C1006" s="1">
        <v>85000</v>
      </c>
      <c r="D1006" s="1">
        <v>100000</v>
      </c>
      <c r="E1006" s="2">
        <v>0.78</v>
      </c>
    </row>
    <row r="1007" spans="1:5" x14ac:dyDescent="0.35">
      <c r="A1007" t="s">
        <v>2121</v>
      </c>
      <c r="B1007" t="s">
        <v>2122</v>
      </c>
      <c r="C1007" s="1">
        <v>85000</v>
      </c>
      <c r="D1007" s="1">
        <v>100000</v>
      </c>
      <c r="E1007" s="2">
        <v>0.78</v>
      </c>
    </row>
    <row r="1008" spans="1:5" x14ac:dyDescent="0.35">
      <c r="A1008" t="s">
        <v>2123</v>
      </c>
      <c r="B1008" t="s">
        <v>2124</v>
      </c>
      <c r="C1008" s="1">
        <v>85000</v>
      </c>
      <c r="D1008" s="1">
        <v>100000</v>
      </c>
      <c r="E1008" s="2">
        <v>0.78</v>
      </c>
    </row>
    <row r="1009" spans="1:5" x14ac:dyDescent="0.35">
      <c r="A1009" t="s">
        <v>2125</v>
      </c>
      <c r="B1009" t="s">
        <v>2126</v>
      </c>
      <c r="C1009" s="1">
        <v>85000</v>
      </c>
      <c r="D1009" s="1">
        <v>100000</v>
      </c>
      <c r="E1009" s="2">
        <v>0.78</v>
      </c>
    </row>
    <row r="1010" spans="1:5" x14ac:dyDescent="0.35">
      <c r="A1010" t="s">
        <v>2127</v>
      </c>
      <c r="B1010" t="s">
        <v>2128</v>
      </c>
      <c r="C1010" s="1">
        <v>85000</v>
      </c>
      <c r="D1010" s="1">
        <v>100000</v>
      </c>
      <c r="E1010" s="2">
        <v>0.78</v>
      </c>
    </row>
    <row r="1011" spans="1:5" x14ac:dyDescent="0.35">
      <c r="A1011" t="s">
        <v>2129</v>
      </c>
      <c r="B1011" t="s">
        <v>2130</v>
      </c>
      <c r="C1011" s="1">
        <v>85000</v>
      </c>
      <c r="D1011" s="1">
        <v>100000</v>
      </c>
      <c r="E1011" s="2">
        <v>0.78</v>
      </c>
    </row>
    <row r="1012" spans="1:5" x14ac:dyDescent="0.35">
      <c r="A1012" t="s">
        <v>2131</v>
      </c>
      <c r="B1012" t="s">
        <v>2132</v>
      </c>
      <c r="C1012" s="1">
        <v>85000</v>
      </c>
      <c r="D1012" s="1">
        <v>100000</v>
      </c>
      <c r="E1012" s="2">
        <v>0.78</v>
      </c>
    </row>
    <row r="1013" spans="1:5" x14ac:dyDescent="0.35">
      <c r="A1013" t="s">
        <v>2133</v>
      </c>
      <c r="B1013" t="s">
        <v>2134</v>
      </c>
      <c r="C1013" s="1">
        <v>85000</v>
      </c>
      <c r="D1013" s="1">
        <v>100000</v>
      </c>
      <c r="E1013" s="2">
        <v>0.78</v>
      </c>
    </row>
    <row r="1014" spans="1:5" x14ac:dyDescent="0.35">
      <c r="A1014" t="s">
        <v>2135</v>
      </c>
      <c r="B1014" t="s">
        <v>2136</v>
      </c>
      <c r="C1014" s="1">
        <v>85000</v>
      </c>
      <c r="D1014" s="1">
        <v>100000</v>
      </c>
      <c r="E1014" s="2">
        <v>0.78</v>
      </c>
    </row>
    <row r="1015" spans="1:5" x14ac:dyDescent="0.35">
      <c r="A1015" t="s">
        <v>2137</v>
      </c>
      <c r="B1015" t="s">
        <v>2138</v>
      </c>
      <c r="C1015" s="1">
        <v>85000</v>
      </c>
      <c r="D1015" s="1">
        <v>100000</v>
      </c>
      <c r="E1015" s="2">
        <v>0.78</v>
      </c>
    </row>
    <row r="1016" spans="1:5" x14ac:dyDescent="0.35">
      <c r="A1016" t="s">
        <v>2139</v>
      </c>
      <c r="B1016" t="s">
        <v>2140</v>
      </c>
      <c r="C1016" s="1">
        <v>85000</v>
      </c>
      <c r="D1016" s="1">
        <v>100000</v>
      </c>
      <c r="E1016" s="2">
        <v>0.78</v>
      </c>
    </row>
    <row r="1017" spans="1:5" x14ac:dyDescent="0.35">
      <c r="A1017" t="s">
        <v>2141</v>
      </c>
      <c r="B1017" t="s">
        <v>2142</v>
      </c>
      <c r="C1017" s="1">
        <v>85000</v>
      </c>
      <c r="D1017" s="1">
        <v>100000</v>
      </c>
      <c r="E1017" s="2">
        <v>0.78</v>
      </c>
    </row>
    <row r="1018" spans="1:5" x14ac:dyDescent="0.35">
      <c r="A1018" t="s">
        <v>2143</v>
      </c>
      <c r="B1018" t="s">
        <v>2144</v>
      </c>
      <c r="C1018" s="1">
        <v>85000</v>
      </c>
      <c r="D1018" s="1">
        <v>100000</v>
      </c>
      <c r="E1018" s="2">
        <v>0.78</v>
      </c>
    </row>
    <row r="1019" spans="1:5" x14ac:dyDescent="0.35">
      <c r="A1019" t="s">
        <v>2145</v>
      </c>
      <c r="B1019" t="s">
        <v>2146</v>
      </c>
      <c r="C1019" s="1">
        <v>85000</v>
      </c>
      <c r="D1019" s="1">
        <v>100000</v>
      </c>
      <c r="E1019" s="2">
        <v>0.78</v>
      </c>
    </row>
    <row r="1020" spans="1:5" x14ac:dyDescent="0.35">
      <c r="A1020" t="s">
        <v>2147</v>
      </c>
      <c r="B1020" t="s">
        <v>2148</v>
      </c>
      <c r="C1020" s="1">
        <v>85000</v>
      </c>
      <c r="D1020" s="1">
        <v>100000</v>
      </c>
      <c r="E1020" s="2">
        <v>0.78</v>
      </c>
    </row>
    <row r="1021" spans="1:5" x14ac:dyDescent="0.35">
      <c r="A1021" t="s">
        <v>2149</v>
      </c>
      <c r="B1021" t="s">
        <v>2150</v>
      </c>
      <c r="C1021" s="1">
        <v>85000</v>
      </c>
      <c r="D1021" s="1">
        <v>100000</v>
      </c>
      <c r="E1021" s="2">
        <v>0.78</v>
      </c>
    </row>
    <row r="1022" spans="1:5" x14ac:dyDescent="0.35">
      <c r="A1022" t="s">
        <v>2151</v>
      </c>
      <c r="B1022" t="s">
        <v>2152</v>
      </c>
      <c r="C1022" s="1">
        <v>85000</v>
      </c>
      <c r="D1022" s="1">
        <v>100000</v>
      </c>
      <c r="E1022" s="2">
        <v>0.78</v>
      </c>
    </row>
    <row r="1023" spans="1:5" x14ac:dyDescent="0.35">
      <c r="A1023" t="s">
        <v>2153</v>
      </c>
      <c r="B1023" t="s">
        <v>2154</v>
      </c>
      <c r="C1023" s="1">
        <v>85000</v>
      </c>
      <c r="D1023" s="1">
        <v>100000</v>
      </c>
      <c r="E1023" s="2">
        <v>0.78</v>
      </c>
    </row>
    <row r="1024" spans="1:5" x14ac:dyDescent="0.35">
      <c r="A1024" t="s">
        <v>2155</v>
      </c>
      <c r="B1024" t="s">
        <v>2156</v>
      </c>
      <c r="C1024" s="1">
        <v>85000</v>
      </c>
      <c r="D1024" s="1">
        <v>100000</v>
      </c>
      <c r="E1024" s="2">
        <v>0.67</v>
      </c>
    </row>
    <row r="1025" spans="1:5" x14ac:dyDescent="0.35">
      <c r="A1025" t="s">
        <v>2157</v>
      </c>
      <c r="B1025" t="s">
        <v>2158</v>
      </c>
      <c r="C1025" s="1">
        <v>85000</v>
      </c>
      <c r="D1025" s="1">
        <v>100000</v>
      </c>
      <c r="E1025" s="2">
        <v>0.67</v>
      </c>
    </row>
    <row r="1026" spans="1:5" x14ac:dyDescent="0.35">
      <c r="A1026" t="s">
        <v>2159</v>
      </c>
      <c r="B1026" t="s">
        <v>2160</v>
      </c>
      <c r="C1026" s="1">
        <v>85000</v>
      </c>
      <c r="D1026" s="1">
        <v>100000</v>
      </c>
      <c r="E1026" s="2">
        <v>0.67</v>
      </c>
    </row>
    <row r="1027" spans="1:5" x14ac:dyDescent="0.35">
      <c r="A1027" t="s">
        <v>2161</v>
      </c>
      <c r="B1027" t="s">
        <v>2162</v>
      </c>
      <c r="C1027" s="1">
        <v>85000</v>
      </c>
      <c r="D1027" s="1">
        <v>100000</v>
      </c>
      <c r="E1027" s="2">
        <v>0.67</v>
      </c>
    </row>
    <row r="1028" spans="1:5" x14ac:dyDescent="0.35">
      <c r="A1028" t="s">
        <v>2163</v>
      </c>
      <c r="B1028" t="s">
        <v>2164</v>
      </c>
      <c r="C1028" s="1">
        <v>85000</v>
      </c>
      <c r="D1028" s="1">
        <v>100000</v>
      </c>
      <c r="E1028" s="2">
        <v>0.67</v>
      </c>
    </row>
    <row r="1029" spans="1:5" x14ac:dyDescent="0.35">
      <c r="A1029" t="s">
        <v>2165</v>
      </c>
      <c r="B1029" t="s">
        <v>2166</v>
      </c>
      <c r="C1029" s="1">
        <v>85000</v>
      </c>
      <c r="D1029" s="1">
        <v>100000</v>
      </c>
      <c r="E1029" s="2">
        <v>0.67</v>
      </c>
    </row>
    <row r="1030" spans="1:5" x14ac:dyDescent="0.35">
      <c r="A1030" t="s">
        <v>2167</v>
      </c>
      <c r="B1030" t="s">
        <v>2168</v>
      </c>
      <c r="C1030" s="1">
        <v>85000</v>
      </c>
      <c r="D1030" s="1">
        <v>100000</v>
      </c>
      <c r="E1030" s="2">
        <v>0.67</v>
      </c>
    </row>
    <row r="1031" spans="1:5" x14ac:dyDescent="0.35">
      <c r="A1031" t="s">
        <v>2169</v>
      </c>
      <c r="B1031" t="s">
        <v>2170</v>
      </c>
      <c r="C1031" s="1">
        <v>85000</v>
      </c>
      <c r="D1031" s="1">
        <v>100000</v>
      </c>
      <c r="E1031" s="2">
        <v>0.67</v>
      </c>
    </row>
    <row r="1032" spans="1:5" x14ac:dyDescent="0.35">
      <c r="A1032" t="s">
        <v>2171</v>
      </c>
      <c r="B1032" t="s">
        <v>2172</v>
      </c>
      <c r="C1032" s="1">
        <v>85000</v>
      </c>
      <c r="D1032" s="1">
        <v>100000</v>
      </c>
      <c r="E1032" s="2">
        <v>0.67</v>
      </c>
    </row>
    <row r="1033" spans="1:5" x14ac:dyDescent="0.35">
      <c r="A1033" t="s">
        <v>2173</v>
      </c>
      <c r="B1033" t="s">
        <v>2174</v>
      </c>
      <c r="C1033" s="1">
        <v>85000</v>
      </c>
      <c r="D1033" s="1">
        <v>100000</v>
      </c>
      <c r="E1033" s="2">
        <v>0.67</v>
      </c>
    </row>
    <row r="1034" spans="1:5" x14ac:dyDescent="0.35">
      <c r="A1034" t="s">
        <v>2175</v>
      </c>
      <c r="B1034" t="s">
        <v>2176</v>
      </c>
      <c r="C1034" s="1">
        <v>85000</v>
      </c>
      <c r="D1034" s="1">
        <v>100000</v>
      </c>
      <c r="E1034" s="2">
        <v>0.67</v>
      </c>
    </row>
    <row r="1035" spans="1:5" x14ac:dyDescent="0.35">
      <c r="A1035" t="s">
        <v>2177</v>
      </c>
      <c r="B1035" t="s">
        <v>2178</v>
      </c>
      <c r="C1035" s="1">
        <v>85000</v>
      </c>
      <c r="D1035" s="1">
        <v>100000</v>
      </c>
      <c r="E1035" s="2">
        <v>0.67</v>
      </c>
    </row>
    <row r="1036" spans="1:5" x14ac:dyDescent="0.35">
      <c r="A1036" t="s">
        <v>2179</v>
      </c>
      <c r="B1036" t="s">
        <v>2180</v>
      </c>
      <c r="C1036" s="1">
        <v>85000</v>
      </c>
      <c r="D1036" s="1">
        <v>100000</v>
      </c>
      <c r="E1036" s="2">
        <v>0.67</v>
      </c>
    </row>
    <row r="1037" spans="1:5" x14ac:dyDescent="0.35">
      <c r="A1037" t="s">
        <v>2181</v>
      </c>
      <c r="B1037" t="s">
        <v>2182</v>
      </c>
      <c r="C1037" s="1">
        <v>85000</v>
      </c>
      <c r="D1037" s="1">
        <v>100000</v>
      </c>
      <c r="E1037" s="2">
        <v>0.67</v>
      </c>
    </row>
    <row r="1038" spans="1:5" x14ac:dyDescent="0.35">
      <c r="A1038" t="s">
        <v>2183</v>
      </c>
      <c r="B1038" t="s">
        <v>2184</v>
      </c>
      <c r="C1038" s="1">
        <v>85000</v>
      </c>
      <c r="D1038" s="1">
        <v>100000</v>
      </c>
      <c r="E1038" s="2">
        <v>0.67</v>
      </c>
    </row>
    <row r="1039" spans="1:5" x14ac:dyDescent="0.35">
      <c r="A1039" t="s">
        <v>2185</v>
      </c>
      <c r="B1039" t="s">
        <v>2186</v>
      </c>
      <c r="C1039" s="1">
        <v>85000</v>
      </c>
      <c r="D1039" s="1">
        <v>100000</v>
      </c>
      <c r="E1039" s="2">
        <v>0.67</v>
      </c>
    </row>
    <row r="1040" spans="1:5" x14ac:dyDescent="0.35">
      <c r="A1040" t="s">
        <v>2187</v>
      </c>
      <c r="B1040" t="s">
        <v>2188</v>
      </c>
      <c r="C1040" s="1">
        <v>85000</v>
      </c>
      <c r="D1040" s="1">
        <v>100000</v>
      </c>
      <c r="E1040" s="2">
        <v>0.67</v>
      </c>
    </row>
    <row r="1041" spans="1:5" x14ac:dyDescent="0.35">
      <c r="A1041" t="s">
        <v>2189</v>
      </c>
      <c r="B1041" t="s">
        <v>2190</v>
      </c>
      <c r="C1041" s="1">
        <v>85000</v>
      </c>
      <c r="D1041" s="1">
        <v>100000</v>
      </c>
      <c r="E1041" s="2">
        <v>0.67</v>
      </c>
    </row>
    <row r="1042" spans="1:5" x14ac:dyDescent="0.35">
      <c r="A1042" t="s">
        <v>2191</v>
      </c>
      <c r="B1042" t="s">
        <v>2192</v>
      </c>
      <c r="C1042" s="1">
        <v>85000</v>
      </c>
      <c r="D1042" s="1">
        <v>100000</v>
      </c>
      <c r="E1042" s="2">
        <v>0.67</v>
      </c>
    </row>
    <row r="1043" spans="1:5" x14ac:dyDescent="0.35">
      <c r="A1043" t="s">
        <v>2193</v>
      </c>
      <c r="B1043" t="s">
        <v>2194</v>
      </c>
      <c r="C1043" s="1">
        <v>85000</v>
      </c>
      <c r="D1043" s="1">
        <v>100000</v>
      </c>
      <c r="E1043" s="2">
        <v>0.67</v>
      </c>
    </row>
    <row r="1044" spans="1:5" x14ac:dyDescent="0.35">
      <c r="A1044" t="s">
        <v>2195</v>
      </c>
      <c r="B1044" t="s">
        <v>2196</v>
      </c>
      <c r="C1044" s="1">
        <v>85000</v>
      </c>
      <c r="D1044" s="1">
        <v>100000</v>
      </c>
      <c r="E1044" s="2">
        <v>0.67</v>
      </c>
    </row>
    <row r="1045" spans="1:5" x14ac:dyDescent="0.35">
      <c r="A1045" t="s">
        <v>2197</v>
      </c>
      <c r="B1045" t="s">
        <v>2198</v>
      </c>
      <c r="C1045" s="1">
        <v>85000</v>
      </c>
      <c r="D1045" s="1">
        <v>100000</v>
      </c>
      <c r="E1045" s="2">
        <v>0.67</v>
      </c>
    </row>
    <row r="1046" spans="1:5" x14ac:dyDescent="0.35">
      <c r="A1046" t="s">
        <v>2199</v>
      </c>
      <c r="B1046" t="s">
        <v>2200</v>
      </c>
      <c r="C1046" s="1">
        <v>85000</v>
      </c>
      <c r="D1046" s="1">
        <v>100000</v>
      </c>
      <c r="E1046" s="2">
        <v>0.67</v>
      </c>
    </row>
    <row r="1047" spans="1:5" x14ac:dyDescent="0.35">
      <c r="A1047" t="s">
        <v>2201</v>
      </c>
      <c r="B1047" t="s">
        <v>2202</v>
      </c>
      <c r="C1047" s="1">
        <v>85000</v>
      </c>
      <c r="D1047" s="1">
        <v>100000</v>
      </c>
      <c r="E1047" s="2">
        <v>0.67</v>
      </c>
    </row>
    <row r="1048" spans="1:5" x14ac:dyDescent="0.35">
      <c r="A1048" t="s">
        <v>2203</v>
      </c>
      <c r="B1048" t="s">
        <v>2204</v>
      </c>
      <c r="C1048" s="1">
        <v>85000</v>
      </c>
      <c r="D1048" s="1">
        <v>100000</v>
      </c>
      <c r="E1048" s="2">
        <v>0.67</v>
      </c>
    </row>
    <row r="1049" spans="1:5" x14ac:dyDescent="0.35">
      <c r="A1049" t="s">
        <v>2205</v>
      </c>
      <c r="B1049" t="s">
        <v>2206</v>
      </c>
      <c r="C1049" s="1">
        <v>85000</v>
      </c>
      <c r="D1049" s="1">
        <v>100000</v>
      </c>
      <c r="E1049" s="2">
        <v>0.67</v>
      </c>
    </row>
    <row r="1050" spans="1:5" x14ac:dyDescent="0.35">
      <c r="A1050" t="s">
        <v>2207</v>
      </c>
      <c r="B1050" t="s">
        <v>2208</v>
      </c>
      <c r="C1050" s="1">
        <v>85000</v>
      </c>
      <c r="D1050" s="1">
        <v>100000</v>
      </c>
      <c r="E1050" s="2">
        <v>0.67</v>
      </c>
    </row>
    <row r="1051" spans="1:5" x14ac:dyDescent="0.35">
      <c r="A1051" t="s">
        <v>2209</v>
      </c>
      <c r="B1051" t="s">
        <v>2210</v>
      </c>
      <c r="C1051" s="1">
        <v>85000</v>
      </c>
      <c r="D1051" s="1">
        <v>100000</v>
      </c>
      <c r="E1051" s="2">
        <v>0.67</v>
      </c>
    </row>
    <row r="1052" spans="1:5" x14ac:dyDescent="0.35">
      <c r="A1052" t="s">
        <v>2211</v>
      </c>
      <c r="B1052" t="s">
        <v>2212</v>
      </c>
      <c r="C1052" s="1">
        <v>85000</v>
      </c>
      <c r="D1052" s="1">
        <v>100000</v>
      </c>
      <c r="E1052" s="2">
        <v>0.67</v>
      </c>
    </row>
    <row r="1053" spans="1:5" x14ac:dyDescent="0.35">
      <c r="A1053" t="s">
        <v>2213</v>
      </c>
      <c r="B1053" t="s">
        <v>2214</v>
      </c>
      <c r="C1053" s="1">
        <v>85000</v>
      </c>
      <c r="D1053" s="1">
        <v>100000</v>
      </c>
      <c r="E1053" s="2">
        <v>0.67</v>
      </c>
    </row>
    <row r="1054" spans="1:5" x14ac:dyDescent="0.35">
      <c r="A1054" t="s">
        <v>2215</v>
      </c>
      <c r="B1054" t="s">
        <v>2216</v>
      </c>
      <c r="C1054" s="1">
        <v>85000</v>
      </c>
      <c r="D1054" s="1">
        <v>100000</v>
      </c>
      <c r="E1054" s="2">
        <v>0.67</v>
      </c>
    </row>
    <row r="1055" spans="1:5" x14ac:dyDescent="0.35">
      <c r="A1055" t="s">
        <v>2217</v>
      </c>
      <c r="B1055" t="s">
        <v>2218</v>
      </c>
      <c r="C1055" s="1">
        <v>85000</v>
      </c>
      <c r="D1055" s="1">
        <v>100000</v>
      </c>
      <c r="E1055" s="2">
        <v>0.67</v>
      </c>
    </row>
    <row r="1056" spans="1:5" x14ac:dyDescent="0.35">
      <c r="A1056" t="s">
        <v>2219</v>
      </c>
      <c r="B1056" t="s">
        <v>2220</v>
      </c>
      <c r="C1056" s="1">
        <v>85000</v>
      </c>
      <c r="D1056" s="1">
        <v>100000</v>
      </c>
      <c r="E1056" s="2">
        <v>0.67</v>
      </c>
    </row>
    <row r="1057" spans="1:5" x14ac:dyDescent="0.35">
      <c r="A1057" t="s">
        <v>2221</v>
      </c>
      <c r="B1057" t="s">
        <v>2222</v>
      </c>
      <c r="C1057" s="1">
        <v>85000</v>
      </c>
      <c r="D1057" s="1">
        <v>100000</v>
      </c>
      <c r="E1057" s="2">
        <v>0.67</v>
      </c>
    </row>
    <row r="1058" spans="1:5" x14ac:dyDescent="0.35">
      <c r="A1058" t="s">
        <v>2223</v>
      </c>
      <c r="B1058" t="s">
        <v>2224</v>
      </c>
      <c r="C1058" s="1">
        <v>85000</v>
      </c>
      <c r="D1058" s="1">
        <v>100000</v>
      </c>
      <c r="E1058" s="2">
        <v>0.67</v>
      </c>
    </row>
    <row r="1059" spans="1:5" x14ac:dyDescent="0.35">
      <c r="A1059" t="s">
        <v>2225</v>
      </c>
      <c r="B1059" t="s">
        <v>2226</v>
      </c>
      <c r="C1059" s="1">
        <v>85000</v>
      </c>
      <c r="D1059" s="1">
        <v>100000</v>
      </c>
      <c r="E1059" s="2">
        <v>0.67</v>
      </c>
    </row>
    <row r="1060" spans="1:5" x14ac:dyDescent="0.35">
      <c r="A1060" t="s">
        <v>2227</v>
      </c>
      <c r="B1060" t="s">
        <v>2228</v>
      </c>
      <c r="C1060" s="1">
        <v>85000</v>
      </c>
      <c r="D1060" s="1">
        <v>100000</v>
      </c>
      <c r="E1060" s="2">
        <v>0.67</v>
      </c>
    </row>
    <row r="1061" spans="1:5" x14ac:dyDescent="0.35">
      <c r="A1061" t="s">
        <v>2229</v>
      </c>
      <c r="B1061" t="s">
        <v>2230</v>
      </c>
      <c r="C1061" s="1">
        <v>85000</v>
      </c>
      <c r="D1061" s="1">
        <v>100000</v>
      </c>
      <c r="E1061" s="2">
        <v>0.67</v>
      </c>
    </row>
    <row r="1062" spans="1:5" x14ac:dyDescent="0.35">
      <c r="A1062" t="s">
        <v>2231</v>
      </c>
      <c r="B1062" t="s">
        <v>2232</v>
      </c>
      <c r="C1062" s="1">
        <v>85000</v>
      </c>
      <c r="D1062" s="1">
        <v>100000</v>
      </c>
      <c r="E1062" s="2">
        <v>0.67</v>
      </c>
    </row>
    <row r="1063" spans="1:5" x14ac:dyDescent="0.35">
      <c r="A1063" t="s">
        <v>2233</v>
      </c>
      <c r="B1063" t="s">
        <v>2234</v>
      </c>
      <c r="C1063" s="1">
        <v>85000</v>
      </c>
      <c r="D1063" s="1">
        <v>100000</v>
      </c>
      <c r="E1063" s="2">
        <v>0.67</v>
      </c>
    </row>
    <row r="1064" spans="1:5" x14ac:dyDescent="0.35">
      <c r="A1064" t="s">
        <v>2235</v>
      </c>
      <c r="B1064" t="s">
        <v>2236</v>
      </c>
      <c r="C1064" s="1">
        <v>85000</v>
      </c>
      <c r="D1064" s="1">
        <v>100000</v>
      </c>
      <c r="E1064" s="2">
        <v>0.67</v>
      </c>
    </row>
    <row r="1065" spans="1:5" x14ac:dyDescent="0.35">
      <c r="A1065" t="s">
        <v>2237</v>
      </c>
      <c r="B1065" t="s">
        <v>2238</v>
      </c>
      <c r="C1065" s="1">
        <v>85000</v>
      </c>
      <c r="D1065" s="1">
        <v>100000</v>
      </c>
      <c r="E1065" s="2">
        <v>0.67</v>
      </c>
    </row>
    <row r="1066" spans="1:5" x14ac:dyDescent="0.35">
      <c r="A1066" t="s">
        <v>2239</v>
      </c>
      <c r="B1066" t="s">
        <v>2240</v>
      </c>
      <c r="C1066" s="1">
        <v>85000</v>
      </c>
      <c r="D1066" s="1">
        <v>100000</v>
      </c>
      <c r="E1066" s="2">
        <v>0.67</v>
      </c>
    </row>
    <row r="1067" spans="1:5" x14ac:dyDescent="0.35">
      <c r="A1067" t="s">
        <v>2241</v>
      </c>
      <c r="B1067" t="s">
        <v>2242</v>
      </c>
      <c r="C1067" s="1">
        <v>85000</v>
      </c>
      <c r="D1067" s="1">
        <v>100000</v>
      </c>
      <c r="E1067" s="2">
        <v>0.67</v>
      </c>
    </row>
    <row r="1068" spans="1:5" x14ac:dyDescent="0.35">
      <c r="A1068" t="s">
        <v>2243</v>
      </c>
      <c r="B1068" t="s">
        <v>2244</v>
      </c>
      <c r="C1068" s="1">
        <v>85000</v>
      </c>
      <c r="D1068" s="1">
        <v>100000</v>
      </c>
      <c r="E1068" s="2">
        <v>0.67</v>
      </c>
    </row>
    <row r="1069" spans="1:5" x14ac:dyDescent="0.35">
      <c r="A1069" t="s">
        <v>2245</v>
      </c>
      <c r="B1069" t="s">
        <v>2246</v>
      </c>
      <c r="C1069" s="1">
        <v>85000</v>
      </c>
      <c r="D1069" s="1">
        <v>100000</v>
      </c>
      <c r="E1069" s="2">
        <v>0.67</v>
      </c>
    </row>
    <row r="1070" spans="1:5" x14ac:dyDescent="0.35">
      <c r="A1070" t="s">
        <v>2247</v>
      </c>
      <c r="B1070" t="s">
        <v>2248</v>
      </c>
      <c r="C1070" s="1">
        <v>85000</v>
      </c>
      <c r="D1070" s="1">
        <v>100000</v>
      </c>
      <c r="E1070" s="2">
        <v>0.67</v>
      </c>
    </row>
    <row r="1071" spans="1:5" x14ac:dyDescent="0.35">
      <c r="A1071" t="s">
        <v>2249</v>
      </c>
      <c r="B1071" t="s">
        <v>2250</v>
      </c>
      <c r="C1071" s="1">
        <v>85000</v>
      </c>
      <c r="D1071" s="1">
        <v>100000</v>
      </c>
      <c r="E1071" s="2">
        <v>0.67</v>
      </c>
    </row>
    <row r="1072" spans="1:5" x14ac:dyDescent="0.35">
      <c r="A1072" t="s">
        <v>2251</v>
      </c>
      <c r="B1072" t="s">
        <v>2252</v>
      </c>
      <c r="C1072" s="1">
        <v>85000</v>
      </c>
      <c r="D1072" s="1">
        <v>100000</v>
      </c>
      <c r="E1072" s="2">
        <v>0.67</v>
      </c>
    </row>
    <row r="1073" spans="1:5" x14ac:dyDescent="0.35">
      <c r="A1073" t="s">
        <v>2253</v>
      </c>
      <c r="B1073" t="s">
        <v>2254</v>
      </c>
      <c r="C1073" s="1">
        <v>85000</v>
      </c>
      <c r="D1073" s="1">
        <v>100000</v>
      </c>
      <c r="E1073" s="2">
        <v>0.67</v>
      </c>
    </row>
    <row r="1074" spans="1:5" x14ac:dyDescent="0.35">
      <c r="A1074" t="s">
        <v>2255</v>
      </c>
      <c r="B1074" t="s">
        <v>2256</v>
      </c>
      <c r="C1074" s="1">
        <v>85000</v>
      </c>
      <c r="D1074" s="1">
        <v>100000</v>
      </c>
      <c r="E1074" s="2">
        <v>0.67</v>
      </c>
    </row>
    <row r="1075" spans="1:5" x14ac:dyDescent="0.35">
      <c r="A1075" t="s">
        <v>2257</v>
      </c>
      <c r="B1075" t="s">
        <v>2258</v>
      </c>
      <c r="C1075" s="1">
        <v>85000</v>
      </c>
      <c r="D1075" s="1">
        <v>100000</v>
      </c>
      <c r="E1075" s="2">
        <v>0.67</v>
      </c>
    </row>
    <row r="1076" spans="1:5" x14ac:dyDescent="0.35">
      <c r="A1076" t="s">
        <v>2259</v>
      </c>
      <c r="B1076" t="s">
        <v>2260</v>
      </c>
      <c r="C1076" s="1">
        <v>85000</v>
      </c>
      <c r="D1076" s="1">
        <v>100000</v>
      </c>
      <c r="E1076" s="2">
        <v>0.67</v>
      </c>
    </row>
    <row r="1077" spans="1:5" x14ac:dyDescent="0.35">
      <c r="A1077" t="s">
        <v>2261</v>
      </c>
      <c r="B1077" t="s">
        <v>2262</v>
      </c>
      <c r="C1077" s="1">
        <v>85000</v>
      </c>
      <c r="D1077" s="1">
        <v>100000</v>
      </c>
      <c r="E1077" s="2">
        <v>0.67</v>
      </c>
    </row>
    <row r="1078" spans="1:5" x14ac:dyDescent="0.35">
      <c r="A1078" t="s">
        <v>2263</v>
      </c>
      <c r="B1078" t="s">
        <v>2264</v>
      </c>
      <c r="C1078" s="1">
        <v>85000</v>
      </c>
      <c r="D1078" s="1">
        <v>100000</v>
      </c>
      <c r="E1078" s="2">
        <v>0.67</v>
      </c>
    </row>
    <row r="1079" spans="1:5" x14ac:dyDescent="0.35">
      <c r="A1079" t="s">
        <v>2265</v>
      </c>
      <c r="B1079" t="s">
        <v>2266</v>
      </c>
      <c r="C1079" s="1">
        <v>85000</v>
      </c>
      <c r="D1079" s="1">
        <v>100000</v>
      </c>
      <c r="E1079" s="2">
        <v>0.67</v>
      </c>
    </row>
    <row r="1080" spans="1:5" x14ac:dyDescent="0.35">
      <c r="A1080" t="s">
        <v>2267</v>
      </c>
      <c r="B1080" t="s">
        <v>2268</v>
      </c>
      <c r="C1080" s="1">
        <v>85000</v>
      </c>
      <c r="D1080" s="1">
        <v>100000</v>
      </c>
      <c r="E1080" s="2">
        <v>0.67</v>
      </c>
    </row>
    <row r="1081" spans="1:5" x14ac:dyDescent="0.35">
      <c r="A1081" t="s">
        <v>2269</v>
      </c>
      <c r="B1081" t="s">
        <v>2270</v>
      </c>
      <c r="C1081" s="1">
        <v>85000</v>
      </c>
      <c r="D1081" s="1">
        <v>100000</v>
      </c>
      <c r="E1081" s="2">
        <v>0.67</v>
      </c>
    </row>
    <row r="1082" spans="1:5" x14ac:dyDescent="0.35">
      <c r="A1082" t="s">
        <v>2271</v>
      </c>
      <c r="B1082" t="s">
        <v>2272</v>
      </c>
      <c r="C1082" s="1">
        <v>85000</v>
      </c>
      <c r="D1082" s="1">
        <v>100000</v>
      </c>
      <c r="E1082" s="2">
        <v>0.67</v>
      </c>
    </row>
    <row r="1083" spans="1:5" x14ac:dyDescent="0.35">
      <c r="A1083" t="s">
        <v>2273</v>
      </c>
      <c r="B1083" t="s">
        <v>2274</v>
      </c>
      <c r="C1083" s="1">
        <v>85000</v>
      </c>
      <c r="D1083" s="1">
        <v>100000</v>
      </c>
      <c r="E1083" s="2">
        <v>0.67</v>
      </c>
    </row>
    <row r="1084" spans="1:5" x14ac:dyDescent="0.35">
      <c r="A1084" t="s">
        <v>2275</v>
      </c>
      <c r="B1084" t="s">
        <v>2276</v>
      </c>
      <c r="C1084" s="1">
        <v>85000</v>
      </c>
      <c r="D1084" s="1">
        <v>100000</v>
      </c>
      <c r="E1084" s="2">
        <v>0.67</v>
      </c>
    </row>
    <row r="1085" spans="1:5" x14ac:dyDescent="0.35">
      <c r="A1085" t="s">
        <v>2277</v>
      </c>
      <c r="B1085" t="s">
        <v>2278</v>
      </c>
      <c r="C1085" s="1">
        <v>85000</v>
      </c>
      <c r="D1085" s="1">
        <v>100000</v>
      </c>
      <c r="E1085" s="2">
        <v>0.67</v>
      </c>
    </row>
    <row r="1086" spans="1:5" x14ac:dyDescent="0.35">
      <c r="A1086" t="s">
        <v>2279</v>
      </c>
      <c r="B1086" t="s">
        <v>2280</v>
      </c>
      <c r="C1086" s="1">
        <v>85000</v>
      </c>
      <c r="D1086" s="1">
        <v>100000</v>
      </c>
      <c r="E1086" s="2">
        <v>0.67</v>
      </c>
    </row>
    <row r="1087" spans="1:5" x14ac:dyDescent="0.35">
      <c r="A1087" t="s">
        <v>2281</v>
      </c>
      <c r="B1087" t="s">
        <v>2282</v>
      </c>
      <c r="C1087" s="1">
        <v>85000</v>
      </c>
      <c r="D1087" s="1">
        <v>100000</v>
      </c>
      <c r="E1087" s="2">
        <v>0.67</v>
      </c>
    </row>
    <row r="1088" spans="1:5" x14ac:dyDescent="0.35">
      <c r="A1088" t="s">
        <v>2283</v>
      </c>
      <c r="B1088" t="s">
        <v>2284</v>
      </c>
      <c r="C1088" s="1">
        <v>85000</v>
      </c>
      <c r="D1088" s="1">
        <v>100000</v>
      </c>
      <c r="E1088" s="2">
        <v>0.67</v>
      </c>
    </row>
    <row r="1089" spans="1:5" x14ac:dyDescent="0.35">
      <c r="A1089" t="s">
        <v>2285</v>
      </c>
      <c r="B1089" t="s">
        <v>2286</v>
      </c>
      <c r="C1089" s="1">
        <v>85000</v>
      </c>
      <c r="D1089" s="1">
        <v>100000</v>
      </c>
      <c r="E1089" s="2">
        <v>0.67</v>
      </c>
    </row>
    <row r="1090" spans="1:5" x14ac:dyDescent="0.35">
      <c r="A1090" t="s">
        <v>2287</v>
      </c>
      <c r="B1090" t="s">
        <v>2288</v>
      </c>
      <c r="C1090" s="1">
        <v>85000</v>
      </c>
      <c r="D1090" s="1">
        <v>100000</v>
      </c>
      <c r="E1090" s="2">
        <v>0.67</v>
      </c>
    </row>
    <row r="1091" spans="1:5" x14ac:dyDescent="0.35">
      <c r="A1091" t="s">
        <v>2289</v>
      </c>
      <c r="B1091" t="s">
        <v>2290</v>
      </c>
      <c r="C1091" s="1">
        <v>85000</v>
      </c>
      <c r="D1091" s="1">
        <v>100000</v>
      </c>
      <c r="E1091" s="2">
        <v>0.67</v>
      </c>
    </row>
    <row r="1092" spans="1:5" x14ac:dyDescent="0.35">
      <c r="A1092" t="s">
        <v>2291</v>
      </c>
      <c r="B1092" t="s">
        <v>2292</v>
      </c>
      <c r="C1092" s="1">
        <v>85000</v>
      </c>
      <c r="D1092" s="1">
        <v>100000</v>
      </c>
      <c r="E1092" s="2">
        <v>0.67</v>
      </c>
    </row>
    <row r="1093" spans="1:5" x14ac:dyDescent="0.35">
      <c r="A1093" t="s">
        <v>2293</v>
      </c>
      <c r="B1093" t="s">
        <v>2294</v>
      </c>
      <c r="C1093" s="1">
        <v>85000</v>
      </c>
      <c r="D1093" s="1">
        <v>100000</v>
      </c>
      <c r="E1093" s="2">
        <v>0.67</v>
      </c>
    </row>
    <row r="1094" spans="1:5" x14ac:dyDescent="0.35">
      <c r="A1094" t="s">
        <v>2295</v>
      </c>
      <c r="B1094" t="s">
        <v>2296</v>
      </c>
      <c r="C1094" s="1">
        <v>85000</v>
      </c>
      <c r="D1094" s="1">
        <v>100000</v>
      </c>
      <c r="E1094" s="2">
        <v>0.67</v>
      </c>
    </row>
    <row r="1095" spans="1:5" x14ac:dyDescent="0.35">
      <c r="A1095" t="s">
        <v>2297</v>
      </c>
      <c r="B1095" t="s">
        <v>2298</v>
      </c>
      <c r="C1095" s="1">
        <v>85000</v>
      </c>
      <c r="D1095" s="1">
        <v>100000</v>
      </c>
      <c r="E1095" s="2">
        <v>0.67</v>
      </c>
    </row>
    <row r="1096" spans="1:5" x14ac:dyDescent="0.35">
      <c r="A1096" t="s">
        <v>2299</v>
      </c>
      <c r="B1096" t="s">
        <v>2300</v>
      </c>
      <c r="C1096" s="1">
        <v>85000</v>
      </c>
      <c r="D1096" s="1">
        <v>100000</v>
      </c>
      <c r="E1096" s="2">
        <v>0.67</v>
      </c>
    </row>
    <row r="1097" spans="1:5" x14ac:dyDescent="0.35">
      <c r="A1097" t="s">
        <v>2301</v>
      </c>
      <c r="B1097" t="s">
        <v>2302</v>
      </c>
      <c r="C1097" s="1">
        <v>85000</v>
      </c>
      <c r="D1097" s="1">
        <v>100000</v>
      </c>
      <c r="E1097" s="2">
        <v>0.67</v>
      </c>
    </row>
    <row r="1098" spans="1:5" x14ac:dyDescent="0.35">
      <c r="A1098" t="s">
        <v>2303</v>
      </c>
      <c r="B1098" t="s">
        <v>2304</v>
      </c>
      <c r="C1098" s="1">
        <v>85000</v>
      </c>
      <c r="D1098" s="1">
        <v>100000</v>
      </c>
      <c r="E1098" s="2">
        <v>0.67</v>
      </c>
    </row>
    <row r="1099" spans="1:5" x14ac:dyDescent="0.35">
      <c r="A1099" t="s">
        <v>2305</v>
      </c>
      <c r="B1099" t="s">
        <v>2306</v>
      </c>
      <c r="C1099" s="1">
        <v>85000</v>
      </c>
      <c r="D1099" s="1">
        <v>100000</v>
      </c>
      <c r="E1099" s="2">
        <v>0.67</v>
      </c>
    </row>
    <row r="1100" spans="1:5" x14ac:dyDescent="0.35">
      <c r="A1100" t="s">
        <v>2307</v>
      </c>
      <c r="B1100" t="s">
        <v>2308</v>
      </c>
      <c r="C1100" s="1">
        <v>85000</v>
      </c>
      <c r="D1100" s="1">
        <v>100000</v>
      </c>
      <c r="E1100" s="2">
        <v>0.67</v>
      </c>
    </row>
    <row r="1101" spans="1:5" x14ac:dyDescent="0.35">
      <c r="A1101" t="s">
        <v>2309</v>
      </c>
      <c r="B1101" t="s">
        <v>2310</v>
      </c>
      <c r="C1101" s="1">
        <v>85000</v>
      </c>
      <c r="D1101" s="1">
        <v>100000</v>
      </c>
      <c r="E1101" s="2">
        <v>0.78</v>
      </c>
    </row>
    <row r="1102" spans="1:5" x14ac:dyDescent="0.35">
      <c r="A1102" t="s">
        <v>2311</v>
      </c>
      <c r="B1102" t="s">
        <v>2312</v>
      </c>
      <c r="C1102" s="1">
        <v>85000</v>
      </c>
      <c r="D1102" s="1">
        <v>100000</v>
      </c>
      <c r="E1102" s="2">
        <v>0.78</v>
      </c>
    </row>
    <row r="1103" spans="1:5" x14ac:dyDescent="0.35">
      <c r="A1103" t="s">
        <v>2313</v>
      </c>
      <c r="B1103" t="s">
        <v>2314</v>
      </c>
      <c r="C1103" s="1">
        <v>85000</v>
      </c>
      <c r="D1103" s="1">
        <v>100000</v>
      </c>
      <c r="E1103" s="2">
        <v>0.78</v>
      </c>
    </row>
    <row r="1104" spans="1:5" x14ac:dyDescent="0.35">
      <c r="A1104" t="s">
        <v>2315</v>
      </c>
      <c r="B1104" t="s">
        <v>2316</v>
      </c>
      <c r="C1104" s="1">
        <v>85000</v>
      </c>
      <c r="D1104" s="1">
        <v>100000</v>
      </c>
      <c r="E1104" s="2">
        <v>0.78</v>
      </c>
    </row>
    <row r="1105" spans="1:5" x14ac:dyDescent="0.35">
      <c r="A1105" t="s">
        <v>2317</v>
      </c>
      <c r="B1105" t="s">
        <v>2318</v>
      </c>
      <c r="C1105" s="1">
        <v>85000</v>
      </c>
      <c r="D1105" s="1">
        <v>100000</v>
      </c>
      <c r="E1105" s="2">
        <v>0.78</v>
      </c>
    </row>
    <row r="1106" spans="1:5" x14ac:dyDescent="0.35">
      <c r="A1106" t="s">
        <v>2319</v>
      </c>
      <c r="B1106" t="s">
        <v>2320</v>
      </c>
      <c r="C1106" s="1">
        <v>85000</v>
      </c>
      <c r="D1106" s="1">
        <v>100000</v>
      </c>
      <c r="E1106" s="2">
        <v>0.78</v>
      </c>
    </row>
    <row r="1107" spans="1:5" x14ac:dyDescent="0.35">
      <c r="A1107" t="s">
        <v>2321</v>
      </c>
      <c r="B1107" t="s">
        <v>2322</v>
      </c>
      <c r="C1107" s="1">
        <v>85000</v>
      </c>
      <c r="D1107" s="1">
        <v>100000</v>
      </c>
      <c r="E1107" s="2">
        <v>0.78</v>
      </c>
    </row>
    <row r="1108" spans="1:5" x14ac:dyDescent="0.35">
      <c r="A1108" t="s">
        <v>2323</v>
      </c>
      <c r="B1108" t="s">
        <v>2324</v>
      </c>
      <c r="C1108" s="1">
        <v>85000</v>
      </c>
      <c r="D1108" s="1">
        <v>100000</v>
      </c>
      <c r="E1108" s="2">
        <v>0.78</v>
      </c>
    </row>
    <row r="1109" spans="1:5" x14ac:dyDescent="0.35">
      <c r="A1109" t="s">
        <v>2325</v>
      </c>
      <c r="B1109" t="s">
        <v>2326</v>
      </c>
      <c r="C1109" s="1">
        <v>85000</v>
      </c>
      <c r="D1109" s="1">
        <v>100000</v>
      </c>
      <c r="E1109" s="2">
        <v>0.78</v>
      </c>
    </row>
    <row r="1110" spans="1:5" x14ac:dyDescent="0.35">
      <c r="A1110" t="s">
        <v>2327</v>
      </c>
      <c r="B1110" t="s">
        <v>2328</v>
      </c>
      <c r="C1110" s="1">
        <v>85000</v>
      </c>
      <c r="D1110" s="1">
        <v>100000</v>
      </c>
      <c r="E1110" s="2">
        <v>0.78</v>
      </c>
    </row>
    <row r="1111" spans="1:5" x14ac:dyDescent="0.35">
      <c r="A1111" t="s">
        <v>2329</v>
      </c>
      <c r="B1111" t="s">
        <v>2330</v>
      </c>
      <c r="C1111" s="1">
        <v>85000</v>
      </c>
      <c r="D1111" s="1">
        <v>100000</v>
      </c>
      <c r="E1111" s="2">
        <v>0.78</v>
      </c>
    </row>
    <row r="1112" spans="1:5" x14ac:dyDescent="0.35">
      <c r="A1112" t="s">
        <v>2331</v>
      </c>
      <c r="B1112" t="s">
        <v>2332</v>
      </c>
      <c r="C1112" s="1">
        <v>85000</v>
      </c>
      <c r="D1112" s="1">
        <v>100000</v>
      </c>
      <c r="E1112" s="2">
        <v>0.78</v>
      </c>
    </row>
    <row r="1113" spans="1:5" x14ac:dyDescent="0.35">
      <c r="A1113" t="s">
        <v>2333</v>
      </c>
      <c r="B1113" t="s">
        <v>2334</v>
      </c>
      <c r="C1113" s="1">
        <v>85000</v>
      </c>
      <c r="D1113" s="1">
        <v>100000</v>
      </c>
      <c r="E1113" s="2">
        <v>0.78</v>
      </c>
    </row>
    <row r="1114" spans="1:5" x14ac:dyDescent="0.35">
      <c r="A1114" t="s">
        <v>2335</v>
      </c>
      <c r="B1114" t="s">
        <v>2336</v>
      </c>
      <c r="C1114" s="1">
        <v>85000</v>
      </c>
      <c r="D1114" s="1">
        <v>100000</v>
      </c>
      <c r="E1114" s="2">
        <v>0.78</v>
      </c>
    </row>
    <row r="1115" spans="1:5" x14ac:dyDescent="0.35">
      <c r="A1115" t="s">
        <v>2337</v>
      </c>
      <c r="B1115" t="s">
        <v>2338</v>
      </c>
      <c r="C1115" s="1">
        <v>85000</v>
      </c>
      <c r="D1115" s="1">
        <v>100000</v>
      </c>
      <c r="E1115" s="2">
        <v>0.78</v>
      </c>
    </row>
    <row r="1116" spans="1:5" x14ac:dyDescent="0.35">
      <c r="A1116" t="s">
        <v>2339</v>
      </c>
      <c r="B1116" t="s">
        <v>2340</v>
      </c>
      <c r="C1116" s="1">
        <v>85000</v>
      </c>
      <c r="D1116" s="1">
        <v>100000</v>
      </c>
      <c r="E1116" s="2">
        <v>0.78</v>
      </c>
    </row>
    <row r="1117" spans="1:5" x14ac:dyDescent="0.35">
      <c r="A1117" t="s">
        <v>2341</v>
      </c>
      <c r="B1117" t="s">
        <v>2342</v>
      </c>
      <c r="C1117" s="1">
        <v>85000</v>
      </c>
      <c r="D1117" s="1">
        <v>100000</v>
      </c>
      <c r="E1117" s="2">
        <v>0.78</v>
      </c>
    </row>
    <row r="1118" spans="1:5" x14ac:dyDescent="0.35">
      <c r="A1118" t="s">
        <v>2343</v>
      </c>
      <c r="B1118" t="s">
        <v>2344</v>
      </c>
      <c r="C1118" s="1">
        <v>85000</v>
      </c>
      <c r="D1118" s="1">
        <v>100000</v>
      </c>
      <c r="E1118" s="2">
        <v>0.78</v>
      </c>
    </row>
    <row r="1119" spans="1:5" x14ac:dyDescent="0.35">
      <c r="A1119" t="s">
        <v>2345</v>
      </c>
      <c r="B1119" t="s">
        <v>2346</v>
      </c>
      <c r="C1119" s="1">
        <v>85000</v>
      </c>
      <c r="D1119" s="1">
        <v>100000</v>
      </c>
      <c r="E1119" s="2">
        <v>0.78</v>
      </c>
    </row>
    <row r="1120" spans="1:5" x14ac:dyDescent="0.35">
      <c r="A1120" t="s">
        <v>2347</v>
      </c>
      <c r="B1120" t="s">
        <v>2348</v>
      </c>
      <c r="C1120" s="1">
        <v>85000</v>
      </c>
      <c r="D1120" s="1">
        <v>100000</v>
      </c>
      <c r="E1120" s="2">
        <v>0.78</v>
      </c>
    </row>
    <row r="1121" spans="1:5" x14ac:dyDescent="0.35">
      <c r="A1121" t="s">
        <v>2349</v>
      </c>
      <c r="B1121" t="s">
        <v>2350</v>
      </c>
      <c r="C1121" s="1">
        <v>85000</v>
      </c>
      <c r="D1121" s="1">
        <v>100000</v>
      </c>
      <c r="E1121" s="2">
        <v>0.78</v>
      </c>
    </row>
    <row r="1122" spans="1:5" x14ac:dyDescent="0.35">
      <c r="A1122" t="s">
        <v>2351</v>
      </c>
      <c r="B1122" t="s">
        <v>2352</v>
      </c>
      <c r="C1122" s="1">
        <v>85000</v>
      </c>
      <c r="D1122" s="1">
        <v>100000</v>
      </c>
      <c r="E1122" s="2">
        <v>0.78</v>
      </c>
    </row>
    <row r="1123" spans="1:5" x14ac:dyDescent="0.35">
      <c r="A1123" t="s">
        <v>2353</v>
      </c>
      <c r="B1123" t="s">
        <v>2354</v>
      </c>
      <c r="C1123" s="1">
        <v>85000</v>
      </c>
      <c r="D1123" s="1">
        <v>100000</v>
      </c>
      <c r="E1123" s="2">
        <v>0.78</v>
      </c>
    </row>
    <row r="1124" spans="1:5" x14ac:dyDescent="0.35">
      <c r="A1124" t="s">
        <v>2355</v>
      </c>
      <c r="B1124" t="s">
        <v>2356</v>
      </c>
      <c r="C1124" s="1">
        <v>85000</v>
      </c>
      <c r="D1124" s="1">
        <v>100000</v>
      </c>
      <c r="E1124" s="2">
        <v>0.78</v>
      </c>
    </row>
    <row r="1125" spans="1:5" x14ac:dyDescent="0.35">
      <c r="A1125" t="s">
        <v>2357</v>
      </c>
      <c r="B1125" t="s">
        <v>2358</v>
      </c>
      <c r="C1125" s="1">
        <v>85000</v>
      </c>
      <c r="D1125" s="1">
        <v>100000</v>
      </c>
      <c r="E1125" s="2">
        <v>0.78</v>
      </c>
    </row>
    <row r="1126" spans="1:5" x14ac:dyDescent="0.35">
      <c r="A1126" t="s">
        <v>2359</v>
      </c>
      <c r="B1126" t="s">
        <v>2360</v>
      </c>
      <c r="C1126" s="1">
        <v>85000</v>
      </c>
      <c r="D1126" s="1">
        <v>100000</v>
      </c>
      <c r="E1126" s="2">
        <v>0.78</v>
      </c>
    </row>
    <row r="1127" spans="1:5" x14ac:dyDescent="0.35">
      <c r="A1127" t="s">
        <v>2361</v>
      </c>
      <c r="B1127" t="s">
        <v>2362</v>
      </c>
      <c r="C1127" s="1">
        <v>85000</v>
      </c>
      <c r="D1127" s="1">
        <v>100000</v>
      </c>
      <c r="E1127" s="2">
        <v>0.78</v>
      </c>
    </row>
    <row r="1128" spans="1:5" x14ac:dyDescent="0.35">
      <c r="A1128" t="s">
        <v>2363</v>
      </c>
      <c r="B1128" t="s">
        <v>2364</v>
      </c>
      <c r="C1128" s="1">
        <v>85000</v>
      </c>
      <c r="D1128" s="1">
        <v>100000</v>
      </c>
      <c r="E1128" s="2">
        <v>0.78</v>
      </c>
    </row>
    <row r="1129" spans="1:5" x14ac:dyDescent="0.35">
      <c r="A1129" t="s">
        <v>2365</v>
      </c>
      <c r="B1129" t="s">
        <v>2366</v>
      </c>
      <c r="C1129" s="1">
        <v>85000</v>
      </c>
      <c r="D1129" s="1">
        <v>100000</v>
      </c>
      <c r="E1129" s="2">
        <v>0.78</v>
      </c>
    </row>
    <row r="1130" spans="1:5" x14ac:dyDescent="0.35">
      <c r="A1130" t="s">
        <v>2367</v>
      </c>
      <c r="B1130" t="s">
        <v>2368</v>
      </c>
      <c r="C1130" s="1">
        <v>85000</v>
      </c>
      <c r="D1130" s="1">
        <v>100000</v>
      </c>
      <c r="E1130" s="2">
        <v>0.78</v>
      </c>
    </row>
    <row r="1131" spans="1:5" x14ac:dyDescent="0.35">
      <c r="A1131" t="s">
        <v>2369</v>
      </c>
      <c r="B1131" t="s">
        <v>2370</v>
      </c>
      <c r="C1131" s="1">
        <v>85000</v>
      </c>
      <c r="D1131" s="1">
        <v>100000</v>
      </c>
      <c r="E1131" s="2">
        <v>0.78</v>
      </c>
    </row>
    <row r="1132" spans="1:5" x14ac:dyDescent="0.35">
      <c r="A1132" t="s">
        <v>2371</v>
      </c>
      <c r="B1132" t="s">
        <v>2372</v>
      </c>
      <c r="C1132" s="1">
        <v>85000</v>
      </c>
      <c r="D1132" s="1">
        <v>100000</v>
      </c>
      <c r="E1132" s="2">
        <v>0.78</v>
      </c>
    </row>
    <row r="1133" spans="1:5" x14ac:dyDescent="0.35">
      <c r="A1133" t="s">
        <v>2373</v>
      </c>
      <c r="B1133" t="s">
        <v>2374</v>
      </c>
      <c r="C1133" s="1">
        <v>85000</v>
      </c>
      <c r="D1133" s="1">
        <v>100000</v>
      </c>
      <c r="E1133" s="2">
        <v>0.78</v>
      </c>
    </row>
    <row r="1134" spans="1:5" x14ac:dyDescent="0.35">
      <c r="A1134" t="s">
        <v>2375</v>
      </c>
      <c r="B1134" t="s">
        <v>2376</v>
      </c>
      <c r="C1134" s="1">
        <v>85000</v>
      </c>
      <c r="D1134" s="1">
        <v>100000</v>
      </c>
      <c r="E1134" s="2">
        <v>0.78</v>
      </c>
    </row>
    <row r="1135" spans="1:5" x14ac:dyDescent="0.35">
      <c r="A1135" t="s">
        <v>2377</v>
      </c>
      <c r="B1135" t="s">
        <v>2378</v>
      </c>
      <c r="C1135" s="1">
        <v>85000</v>
      </c>
      <c r="D1135" s="1">
        <v>100000</v>
      </c>
      <c r="E1135" s="2">
        <v>0.78</v>
      </c>
    </row>
    <row r="1136" spans="1:5" x14ac:dyDescent="0.35">
      <c r="A1136" t="s">
        <v>2379</v>
      </c>
      <c r="B1136" t="s">
        <v>2380</v>
      </c>
      <c r="C1136" s="1">
        <v>85000</v>
      </c>
      <c r="D1136" s="1">
        <v>100000</v>
      </c>
      <c r="E1136" s="2">
        <v>0.78</v>
      </c>
    </row>
    <row r="1137" spans="1:5" x14ac:dyDescent="0.35">
      <c r="A1137" t="s">
        <v>2381</v>
      </c>
      <c r="B1137" t="s">
        <v>2382</v>
      </c>
      <c r="C1137" s="1">
        <v>85000</v>
      </c>
      <c r="D1137" s="1">
        <v>100000</v>
      </c>
      <c r="E1137" s="2">
        <v>0.78</v>
      </c>
    </row>
    <row r="1138" spans="1:5" x14ac:dyDescent="0.35">
      <c r="A1138" t="s">
        <v>2383</v>
      </c>
      <c r="B1138" t="s">
        <v>2384</v>
      </c>
      <c r="C1138" s="1">
        <v>85000</v>
      </c>
      <c r="D1138" s="1">
        <v>100000</v>
      </c>
      <c r="E1138" s="2">
        <v>0.78</v>
      </c>
    </row>
    <row r="1139" spans="1:5" x14ac:dyDescent="0.35">
      <c r="A1139" t="s">
        <v>2385</v>
      </c>
      <c r="B1139" t="s">
        <v>2386</v>
      </c>
      <c r="C1139" s="1">
        <v>85000</v>
      </c>
      <c r="D1139" s="1">
        <v>100000</v>
      </c>
      <c r="E1139" s="2">
        <v>0.78</v>
      </c>
    </row>
    <row r="1140" spans="1:5" x14ac:dyDescent="0.35">
      <c r="A1140" t="s">
        <v>2387</v>
      </c>
      <c r="B1140" t="s">
        <v>2388</v>
      </c>
      <c r="C1140" s="1">
        <v>85000</v>
      </c>
      <c r="D1140" s="1">
        <v>100000</v>
      </c>
      <c r="E1140" s="2">
        <v>0.78</v>
      </c>
    </row>
    <row r="1141" spans="1:5" x14ac:dyDescent="0.35">
      <c r="A1141" t="s">
        <v>2389</v>
      </c>
      <c r="B1141" t="s">
        <v>2390</v>
      </c>
      <c r="C1141" s="1">
        <v>85000</v>
      </c>
      <c r="D1141" s="1">
        <v>100000</v>
      </c>
      <c r="E1141" s="2">
        <v>0.78</v>
      </c>
    </row>
    <row r="1142" spans="1:5" x14ac:dyDescent="0.35">
      <c r="A1142" t="s">
        <v>2391</v>
      </c>
      <c r="B1142" t="s">
        <v>2392</v>
      </c>
      <c r="C1142" s="1">
        <v>85000</v>
      </c>
      <c r="D1142" s="1">
        <v>100000</v>
      </c>
      <c r="E1142" s="2">
        <v>0.78</v>
      </c>
    </row>
    <row r="1143" spans="1:5" x14ac:dyDescent="0.35">
      <c r="A1143" t="s">
        <v>2393</v>
      </c>
      <c r="B1143" t="s">
        <v>2394</v>
      </c>
      <c r="C1143" s="1">
        <v>85000</v>
      </c>
      <c r="D1143" s="1">
        <v>100000</v>
      </c>
      <c r="E1143" s="2">
        <v>0.78</v>
      </c>
    </row>
    <row r="1144" spans="1:5" x14ac:dyDescent="0.35">
      <c r="A1144" t="s">
        <v>2395</v>
      </c>
      <c r="B1144" t="s">
        <v>2396</v>
      </c>
      <c r="C1144" s="1">
        <v>85000</v>
      </c>
      <c r="D1144" s="1">
        <v>100000</v>
      </c>
      <c r="E1144" s="2">
        <v>0.78</v>
      </c>
    </row>
    <row r="1145" spans="1:5" x14ac:dyDescent="0.35">
      <c r="A1145" t="s">
        <v>2397</v>
      </c>
      <c r="B1145" t="s">
        <v>2398</v>
      </c>
      <c r="C1145" s="1">
        <v>85000</v>
      </c>
      <c r="D1145" s="1">
        <v>100000</v>
      </c>
      <c r="E1145" s="2">
        <v>0.78</v>
      </c>
    </row>
    <row r="1146" spans="1:5" x14ac:dyDescent="0.35">
      <c r="A1146" t="s">
        <v>2399</v>
      </c>
      <c r="B1146" t="s">
        <v>2400</v>
      </c>
      <c r="C1146" s="1">
        <v>85000</v>
      </c>
      <c r="D1146" s="1">
        <v>100000</v>
      </c>
      <c r="E1146" s="2">
        <v>0.78</v>
      </c>
    </row>
    <row r="1147" spans="1:5" x14ac:dyDescent="0.35">
      <c r="A1147" t="s">
        <v>2401</v>
      </c>
      <c r="B1147" t="s">
        <v>2402</v>
      </c>
      <c r="C1147" s="1">
        <v>85000</v>
      </c>
      <c r="D1147" s="1">
        <v>100000</v>
      </c>
      <c r="E1147" s="2">
        <v>0.78</v>
      </c>
    </row>
    <row r="1148" spans="1:5" x14ac:dyDescent="0.35">
      <c r="A1148" t="s">
        <v>2403</v>
      </c>
      <c r="B1148" t="s">
        <v>2404</v>
      </c>
      <c r="C1148" s="1">
        <v>85000</v>
      </c>
      <c r="D1148" s="1">
        <v>100000</v>
      </c>
      <c r="E1148" s="2">
        <v>0.78</v>
      </c>
    </row>
    <row r="1149" spans="1:5" x14ac:dyDescent="0.35">
      <c r="A1149" t="s">
        <v>2405</v>
      </c>
      <c r="B1149" t="s">
        <v>2406</v>
      </c>
      <c r="C1149" s="1">
        <v>85000</v>
      </c>
      <c r="D1149" s="1">
        <v>100000</v>
      </c>
      <c r="E1149" s="2">
        <v>0.67</v>
      </c>
    </row>
    <row r="1150" spans="1:5" x14ac:dyDescent="0.35">
      <c r="A1150" t="s">
        <v>2407</v>
      </c>
      <c r="B1150" t="s">
        <v>2408</v>
      </c>
      <c r="C1150" s="1">
        <v>85000</v>
      </c>
      <c r="D1150" s="1">
        <v>100000</v>
      </c>
      <c r="E1150" s="2">
        <v>0.67</v>
      </c>
    </row>
    <row r="1151" spans="1:5" x14ac:dyDescent="0.35">
      <c r="A1151" t="s">
        <v>2409</v>
      </c>
      <c r="B1151" t="s">
        <v>2410</v>
      </c>
      <c r="C1151" s="1">
        <v>85000</v>
      </c>
      <c r="D1151" s="1">
        <v>100000</v>
      </c>
      <c r="E1151" s="2">
        <v>0.67</v>
      </c>
    </row>
    <row r="1152" spans="1:5" x14ac:dyDescent="0.35">
      <c r="A1152" t="s">
        <v>2411</v>
      </c>
      <c r="B1152" t="s">
        <v>2412</v>
      </c>
      <c r="C1152" s="1">
        <v>85000</v>
      </c>
      <c r="D1152" s="1">
        <v>100000</v>
      </c>
      <c r="E1152" s="2">
        <v>0.67</v>
      </c>
    </row>
    <row r="1153" spans="1:5" x14ac:dyDescent="0.35">
      <c r="A1153" t="s">
        <v>2413</v>
      </c>
      <c r="B1153" t="s">
        <v>2414</v>
      </c>
      <c r="C1153" s="1">
        <v>85000</v>
      </c>
      <c r="D1153" s="1">
        <v>100000</v>
      </c>
      <c r="E1153" s="2">
        <v>0.67</v>
      </c>
    </row>
    <row r="1154" spans="1:5" x14ac:dyDescent="0.35">
      <c r="A1154" t="s">
        <v>2415</v>
      </c>
      <c r="B1154" t="s">
        <v>2416</v>
      </c>
      <c r="C1154" s="1">
        <v>85000</v>
      </c>
      <c r="D1154" s="1">
        <v>100000</v>
      </c>
      <c r="E1154" s="2">
        <v>0.67</v>
      </c>
    </row>
    <row r="1155" spans="1:5" x14ac:dyDescent="0.35">
      <c r="A1155" t="s">
        <v>2417</v>
      </c>
      <c r="B1155" t="s">
        <v>2418</v>
      </c>
      <c r="C1155" s="1">
        <v>85000</v>
      </c>
      <c r="D1155" s="1">
        <v>100000</v>
      </c>
      <c r="E1155" s="2">
        <v>0.67</v>
      </c>
    </row>
    <row r="1156" spans="1:5" x14ac:dyDescent="0.35">
      <c r="A1156" t="s">
        <v>2419</v>
      </c>
      <c r="B1156" t="s">
        <v>2420</v>
      </c>
      <c r="C1156" s="1">
        <v>85000</v>
      </c>
      <c r="D1156" s="1">
        <v>100000</v>
      </c>
      <c r="E1156" s="2">
        <v>0.67</v>
      </c>
    </row>
    <row r="1157" spans="1:5" x14ac:dyDescent="0.35">
      <c r="A1157" t="s">
        <v>2421</v>
      </c>
      <c r="B1157" t="s">
        <v>2422</v>
      </c>
      <c r="C1157" s="1">
        <v>85000</v>
      </c>
      <c r="D1157" s="1">
        <v>100000</v>
      </c>
      <c r="E1157" s="2">
        <v>0.67</v>
      </c>
    </row>
    <row r="1158" spans="1:5" x14ac:dyDescent="0.35">
      <c r="A1158" t="s">
        <v>2423</v>
      </c>
      <c r="B1158" t="s">
        <v>2424</v>
      </c>
      <c r="C1158" s="1">
        <v>85000</v>
      </c>
      <c r="D1158" s="1">
        <v>100000</v>
      </c>
      <c r="E1158" s="2">
        <v>0.67</v>
      </c>
    </row>
    <row r="1159" spans="1:5" x14ac:dyDescent="0.35">
      <c r="A1159" t="s">
        <v>2425</v>
      </c>
      <c r="B1159" t="s">
        <v>2426</v>
      </c>
      <c r="C1159" s="1">
        <v>85000</v>
      </c>
      <c r="D1159" s="1">
        <v>100000</v>
      </c>
      <c r="E1159" s="2">
        <v>0.67</v>
      </c>
    </row>
    <row r="1160" spans="1:5" x14ac:dyDescent="0.35">
      <c r="A1160" t="s">
        <v>2427</v>
      </c>
      <c r="B1160" t="s">
        <v>2428</v>
      </c>
      <c r="C1160" s="1">
        <v>85000</v>
      </c>
      <c r="D1160" s="1">
        <v>100000</v>
      </c>
      <c r="E1160" s="2">
        <v>0.67</v>
      </c>
    </row>
    <row r="1161" spans="1:5" x14ac:dyDescent="0.35">
      <c r="A1161" t="s">
        <v>2429</v>
      </c>
      <c r="B1161" t="s">
        <v>2430</v>
      </c>
      <c r="C1161" s="1">
        <v>85000</v>
      </c>
      <c r="D1161" s="1">
        <v>100000</v>
      </c>
      <c r="E1161" s="2">
        <v>0.67</v>
      </c>
    </row>
    <row r="1162" spans="1:5" x14ac:dyDescent="0.35">
      <c r="A1162" t="s">
        <v>2431</v>
      </c>
      <c r="B1162" t="s">
        <v>2432</v>
      </c>
      <c r="C1162" s="1">
        <v>85000</v>
      </c>
      <c r="D1162" s="1">
        <v>100000</v>
      </c>
      <c r="E1162" s="2">
        <v>0.67</v>
      </c>
    </row>
    <row r="1163" spans="1:5" x14ac:dyDescent="0.35">
      <c r="A1163" t="s">
        <v>2433</v>
      </c>
      <c r="B1163" t="s">
        <v>2434</v>
      </c>
      <c r="C1163" s="1">
        <v>85000</v>
      </c>
      <c r="D1163" s="1">
        <v>100000</v>
      </c>
      <c r="E1163" s="2">
        <v>0.67</v>
      </c>
    </row>
    <row r="1164" spans="1:5" x14ac:dyDescent="0.35">
      <c r="A1164" t="s">
        <v>2435</v>
      </c>
      <c r="B1164" t="s">
        <v>2436</v>
      </c>
      <c r="C1164" s="1">
        <v>85000</v>
      </c>
      <c r="D1164" s="1">
        <v>100000</v>
      </c>
      <c r="E1164" s="2">
        <v>0.67</v>
      </c>
    </row>
    <row r="1165" spans="1:5" x14ac:dyDescent="0.35">
      <c r="A1165" t="s">
        <v>2437</v>
      </c>
      <c r="B1165" t="s">
        <v>2438</v>
      </c>
      <c r="C1165" s="1">
        <v>85000</v>
      </c>
      <c r="D1165" s="1">
        <v>100000</v>
      </c>
      <c r="E1165" s="2">
        <v>0.67</v>
      </c>
    </row>
    <row r="1166" spans="1:5" x14ac:dyDescent="0.35">
      <c r="A1166" t="s">
        <v>2439</v>
      </c>
      <c r="B1166" t="s">
        <v>2440</v>
      </c>
      <c r="C1166" s="1">
        <v>85000</v>
      </c>
      <c r="D1166" s="1">
        <v>100000</v>
      </c>
      <c r="E1166" s="2">
        <v>0.67</v>
      </c>
    </row>
    <row r="1167" spans="1:5" x14ac:dyDescent="0.35">
      <c r="A1167" t="s">
        <v>2441</v>
      </c>
      <c r="B1167" t="s">
        <v>2442</v>
      </c>
      <c r="C1167" s="1">
        <v>85000</v>
      </c>
      <c r="D1167" s="1">
        <v>100000</v>
      </c>
      <c r="E1167" s="2">
        <v>0.67</v>
      </c>
    </row>
    <row r="1168" spans="1:5" x14ac:dyDescent="0.35">
      <c r="A1168" t="s">
        <v>2443</v>
      </c>
      <c r="B1168" t="s">
        <v>2444</v>
      </c>
      <c r="C1168" s="1">
        <v>85000</v>
      </c>
      <c r="D1168" s="1">
        <v>100000</v>
      </c>
      <c r="E1168" s="2">
        <v>0.67</v>
      </c>
    </row>
    <row r="1169" spans="1:5" x14ac:dyDescent="0.35">
      <c r="A1169" t="s">
        <v>2445</v>
      </c>
      <c r="B1169" t="s">
        <v>2446</v>
      </c>
      <c r="C1169" s="1">
        <v>85000</v>
      </c>
      <c r="D1169" s="1">
        <v>100000</v>
      </c>
      <c r="E1169" s="2">
        <v>0.67</v>
      </c>
    </row>
    <row r="1170" spans="1:5" x14ac:dyDescent="0.35">
      <c r="A1170" t="s">
        <v>2447</v>
      </c>
      <c r="B1170" t="s">
        <v>2448</v>
      </c>
      <c r="C1170" s="1">
        <v>85000</v>
      </c>
      <c r="D1170" s="1">
        <v>100000</v>
      </c>
      <c r="E1170" s="2">
        <v>0.67</v>
      </c>
    </row>
    <row r="1171" spans="1:5" x14ac:dyDescent="0.35">
      <c r="A1171" t="s">
        <v>2449</v>
      </c>
      <c r="B1171" t="s">
        <v>2450</v>
      </c>
      <c r="C1171" s="1">
        <v>85000</v>
      </c>
      <c r="D1171" s="1">
        <v>100000</v>
      </c>
      <c r="E1171" s="2">
        <v>0.67</v>
      </c>
    </row>
    <row r="1172" spans="1:5" x14ac:dyDescent="0.35">
      <c r="A1172" t="s">
        <v>2451</v>
      </c>
      <c r="B1172" t="s">
        <v>2452</v>
      </c>
      <c r="C1172" s="1">
        <v>85000</v>
      </c>
      <c r="D1172" s="1">
        <v>100000</v>
      </c>
      <c r="E1172" s="2">
        <v>0.67</v>
      </c>
    </row>
    <row r="1173" spans="1:5" x14ac:dyDescent="0.35">
      <c r="A1173" t="s">
        <v>2453</v>
      </c>
      <c r="B1173" t="s">
        <v>2454</v>
      </c>
      <c r="C1173" s="1">
        <v>85000</v>
      </c>
      <c r="D1173" s="1">
        <v>100000</v>
      </c>
      <c r="E1173" s="2">
        <v>0.67</v>
      </c>
    </row>
    <row r="1174" spans="1:5" x14ac:dyDescent="0.35">
      <c r="A1174" t="s">
        <v>2455</v>
      </c>
      <c r="B1174" t="s">
        <v>2456</v>
      </c>
      <c r="C1174" s="1">
        <v>85000</v>
      </c>
      <c r="D1174" s="1">
        <v>100000</v>
      </c>
      <c r="E1174" s="2">
        <v>0.67</v>
      </c>
    </row>
    <row r="1175" spans="1:5" x14ac:dyDescent="0.35">
      <c r="A1175" t="s">
        <v>2457</v>
      </c>
      <c r="B1175" t="s">
        <v>2458</v>
      </c>
      <c r="C1175" s="1">
        <v>85000</v>
      </c>
      <c r="D1175" s="1">
        <v>100000</v>
      </c>
      <c r="E1175" s="2">
        <v>0.67</v>
      </c>
    </row>
    <row r="1176" spans="1:5" x14ac:dyDescent="0.35">
      <c r="A1176" t="s">
        <v>2459</v>
      </c>
      <c r="B1176" t="s">
        <v>2460</v>
      </c>
      <c r="C1176" s="1">
        <v>85000</v>
      </c>
      <c r="D1176" s="1">
        <v>100000</v>
      </c>
      <c r="E1176" s="2">
        <v>0.67</v>
      </c>
    </row>
    <row r="1177" spans="1:5" x14ac:dyDescent="0.35">
      <c r="A1177" t="s">
        <v>2461</v>
      </c>
      <c r="B1177" t="s">
        <v>2462</v>
      </c>
      <c r="C1177" s="1">
        <v>85000</v>
      </c>
      <c r="D1177" s="1">
        <v>100000</v>
      </c>
      <c r="E1177" s="2">
        <v>0.67</v>
      </c>
    </row>
    <row r="1178" spans="1:5" x14ac:dyDescent="0.35">
      <c r="A1178" t="s">
        <v>2463</v>
      </c>
      <c r="B1178" t="s">
        <v>2464</v>
      </c>
      <c r="C1178" s="1">
        <v>85000</v>
      </c>
      <c r="D1178" s="1">
        <v>100000</v>
      </c>
      <c r="E1178" s="2">
        <v>0.67</v>
      </c>
    </row>
    <row r="1179" spans="1:5" x14ac:dyDescent="0.35">
      <c r="A1179" t="s">
        <v>2465</v>
      </c>
      <c r="B1179" t="s">
        <v>2466</v>
      </c>
      <c r="C1179" s="1">
        <v>85000</v>
      </c>
      <c r="D1179" s="1">
        <v>100000</v>
      </c>
      <c r="E1179" s="2">
        <v>0.67</v>
      </c>
    </row>
    <row r="1180" spans="1:5" x14ac:dyDescent="0.35">
      <c r="A1180" t="s">
        <v>2573</v>
      </c>
      <c r="B1180" t="s">
        <v>2574</v>
      </c>
      <c r="C1180" s="1">
        <v>85000</v>
      </c>
      <c r="D1180" s="1">
        <v>100000</v>
      </c>
      <c r="E1180" s="2">
        <v>0.67</v>
      </c>
    </row>
    <row r="1181" spans="1:5" x14ac:dyDescent="0.35">
      <c r="A1181" t="s">
        <v>2575</v>
      </c>
      <c r="B1181" t="s">
        <v>2576</v>
      </c>
      <c r="C1181" s="1">
        <v>85000</v>
      </c>
      <c r="D1181" s="1">
        <v>100000</v>
      </c>
      <c r="E1181" s="2">
        <v>0.67</v>
      </c>
    </row>
    <row r="1182" spans="1:5" x14ac:dyDescent="0.35">
      <c r="A1182" t="s">
        <v>2577</v>
      </c>
      <c r="B1182" t="s">
        <v>2578</v>
      </c>
      <c r="C1182" s="1">
        <v>85000</v>
      </c>
      <c r="D1182" s="1">
        <v>100000</v>
      </c>
      <c r="E1182" s="2">
        <v>0.67</v>
      </c>
    </row>
    <row r="1183" spans="1:5" x14ac:dyDescent="0.35">
      <c r="A1183" t="s">
        <v>2579</v>
      </c>
      <c r="B1183" t="s">
        <v>2580</v>
      </c>
      <c r="C1183" s="1">
        <v>85000</v>
      </c>
      <c r="D1183" s="1">
        <v>100000</v>
      </c>
      <c r="E1183" s="2">
        <v>0.67</v>
      </c>
    </row>
    <row r="1184" spans="1:5" x14ac:dyDescent="0.35">
      <c r="A1184" t="s">
        <v>2467</v>
      </c>
      <c r="B1184" t="s">
        <v>2468</v>
      </c>
      <c r="C1184" s="1">
        <v>85000</v>
      </c>
      <c r="D1184" s="1">
        <v>100000</v>
      </c>
      <c r="E1184" s="2">
        <v>0.67</v>
      </c>
    </row>
    <row r="1185" spans="1:5" x14ac:dyDescent="0.35">
      <c r="A1185" t="s">
        <v>2469</v>
      </c>
      <c r="B1185" t="s">
        <v>2470</v>
      </c>
      <c r="C1185" s="1">
        <v>85000</v>
      </c>
      <c r="D1185" s="1">
        <v>100000</v>
      </c>
      <c r="E1185" s="2">
        <v>0.67</v>
      </c>
    </row>
    <row r="1186" spans="1:5" x14ac:dyDescent="0.35">
      <c r="A1186" t="s">
        <v>2471</v>
      </c>
      <c r="B1186" t="s">
        <v>2472</v>
      </c>
      <c r="C1186" s="1">
        <v>85000</v>
      </c>
      <c r="D1186" s="1">
        <v>100000</v>
      </c>
      <c r="E1186" s="2">
        <v>0.67</v>
      </c>
    </row>
    <row r="1187" spans="1:5" x14ac:dyDescent="0.35">
      <c r="A1187" t="s">
        <v>2473</v>
      </c>
      <c r="B1187" t="s">
        <v>2474</v>
      </c>
      <c r="C1187" s="1">
        <v>85000</v>
      </c>
      <c r="D1187" s="1">
        <v>100000</v>
      </c>
      <c r="E1187" s="2">
        <v>0.67</v>
      </c>
    </row>
    <row r="1188" spans="1:5" x14ac:dyDescent="0.35">
      <c r="A1188" t="s">
        <v>2475</v>
      </c>
      <c r="B1188" t="s">
        <v>2476</v>
      </c>
      <c r="C1188" s="1">
        <v>85000</v>
      </c>
      <c r="D1188" s="1">
        <v>100000</v>
      </c>
      <c r="E1188" s="2">
        <v>0.67</v>
      </c>
    </row>
    <row r="1189" spans="1:5" x14ac:dyDescent="0.35">
      <c r="A1189" t="s">
        <v>2477</v>
      </c>
      <c r="B1189" t="s">
        <v>2478</v>
      </c>
      <c r="C1189" s="1">
        <v>85000</v>
      </c>
      <c r="D1189" s="1">
        <v>100000</v>
      </c>
      <c r="E1189" s="2">
        <v>0.67</v>
      </c>
    </row>
    <row r="1190" spans="1:5" x14ac:dyDescent="0.35">
      <c r="A1190" t="s">
        <v>2479</v>
      </c>
      <c r="B1190" t="s">
        <v>2480</v>
      </c>
      <c r="C1190" s="1">
        <v>85000</v>
      </c>
      <c r="D1190" s="1">
        <v>100000</v>
      </c>
      <c r="E1190" s="2">
        <v>0.67</v>
      </c>
    </row>
    <row r="1191" spans="1:5" x14ac:dyDescent="0.35">
      <c r="A1191" t="s">
        <v>2481</v>
      </c>
      <c r="B1191" t="s">
        <v>2482</v>
      </c>
      <c r="C1191" s="1">
        <v>85000</v>
      </c>
      <c r="D1191" s="1">
        <v>100000</v>
      </c>
      <c r="E1191" s="2">
        <v>0.67</v>
      </c>
    </row>
    <row r="1192" spans="1:5" x14ac:dyDescent="0.35">
      <c r="A1192" t="s">
        <v>2483</v>
      </c>
      <c r="B1192" t="s">
        <v>2484</v>
      </c>
      <c r="C1192" s="1">
        <v>85000</v>
      </c>
      <c r="D1192" s="1">
        <v>100000</v>
      </c>
      <c r="E1192" s="2">
        <v>0.67</v>
      </c>
    </row>
    <row r="1193" spans="1:5" x14ac:dyDescent="0.35">
      <c r="A1193" t="s">
        <v>2485</v>
      </c>
      <c r="B1193" t="s">
        <v>2486</v>
      </c>
      <c r="C1193" s="1">
        <v>85000</v>
      </c>
      <c r="D1193" s="1">
        <v>100000</v>
      </c>
      <c r="E1193" s="2">
        <v>0.67</v>
      </c>
    </row>
    <row r="1194" spans="1:5" x14ac:dyDescent="0.35">
      <c r="A1194" t="s">
        <v>2487</v>
      </c>
      <c r="B1194" t="s">
        <v>2488</v>
      </c>
      <c r="C1194" s="1">
        <v>85000</v>
      </c>
      <c r="D1194" s="1">
        <v>100000</v>
      </c>
      <c r="E1194" s="2">
        <v>0.67</v>
      </c>
    </row>
    <row r="1195" spans="1:5" x14ac:dyDescent="0.35">
      <c r="A1195" t="s">
        <v>2489</v>
      </c>
      <c r="B1195" t="s">
        <v>2490</v>
      </c>
      <c r="C1195" s="1">
        <v>85000</v>
      </c>
      <c r="D1195" s="1">
        <v>100000</v>
      </c>
      <c r="E1195" s="2">
        <v>0.67</v>
      </c>
    </row>
    <row r="1196" spans="1:5" x14ac:dyDescent="0.35">
      <c r="A1196" t="s">
        <v>2491</v>
      </c>
      <c r="B1196" t="s">
        <v>2492</v>
      </c>
      <c r="C1196" s="1">
        <v>85000</v>
      </c>
      <c r="D1196" s="1">
        <v>100000</v>
      </c>
      <c r="E1196" s="2">
        <v>0.67</v>
      </c>
    </row>
    <row r="1197" spans="1:5" x14ac:dyDescent="0.35">
      <c r="A1197" t="s">
        <v>2493</v>
      </c>
      <c r="B1197" t="s">
        <v>2494</v>
      </c>
      <c r="C1197" s="1">
        <v>85000</v>
      </c>
      <c r="D1197" s="1">
        <v>100000</v>
      </c>
      <c r="E1197" s="2">
        <v>0.67</v>
      </c>
    </row>
    <row r="1198" spans="1:5" x14ac:dyDescent="0.35">
      <c r="A1198" t="s">
        <v>2495</v>
      </c>
      <c r="B1198" t="s">
        <v>2496</v>
      </c>
      <c r="C1198" s="1">
        <v>85000</v>
      </c>
      <c r="D1198" s="1">
        <v>100000</v>
      </c>
      <c r="E1198" s="2">
        <v>0.67</v>
      </c>
    </row>
    <row r="1199" spans="1:5" x14ac:dyDescent="0.35">
      <c r="A1199" t="s">
        <v>2497</v>
      </c>
      <c r="B1199" t="s">
        <v>2498</v>
      </c>
      <c r="C1199" s="1">
        <v>85000</v>
      </c>
      <c r="D1199" s="1">
        <v>100000</v>
      </c>
      <c r="E1199" s="2">
        <v>0.67</v>
      </c>
    </row>
    <row r="1200" spans="1:5" x14ac:dyDescent="0.35">
      <c r="A1200" t="s">
        <v>2499</v>
      </c>
      <c r="B1200" t="s">
        <v>2500</v>
      </c>
      <c r="C1200" s="1">
        <v>85000</v>
      </c>
      <c r="D1200" s="1">
        <v>100000</v>
      </c>
      <c r="E1200" s="2">
        <v>0.67</v>
      </c>
    </row>
    <row r="1201" spans="1:5" x14ac:dyDescent="0.35">
      <c r="A1201" t="s">
        <v>2501</v>
      </c>
      <c r="B1201" t="s">
        <v>2502</v>
      </c>
      <c r="C1201" s="1">
        <v>85000</v>
      </c>
      <c r="D1201" s="1">
        <v>100000</v>
      </c>
      <c r="E1201" s="2">
        <v>0.67</v>
      </c>
    </row>
    <row r="1202" spans="1:5" x14ac:dyDescent="0.35">
      <c r="A1202" t="s">
        <v>2503</v>
      </c>
      <c r="B1202" t="s">
        <v>2504</v>
      </c>
      <c r="C1202" s="1">
        <v>85000</v>
      </c>
      <c r="D1202" s="1">
        <v>100000</v>
      </c>
      <c r="E1202" s="2">
        <v>0.67</v>
      </c>
    </row>
    <row r="1203" spans="1:5" x14ac:dyDescent="0.35">
      <c r="A1203" t="s">
        <v>2505</v>
      </c>
      <c r="B1203" t="s">
        <v>2506</v>
      </c>
      <c r="C1203" s="1">
        <v>85000</v>
      </c>
      <c r="D1203" s="1">
        <v>100000</v>
      </c>
      <c r="E1203" s="2">
        <v>0.67</v>
      </c>
    </row>
    <row r="1204" spans="1:5" x14ac:dyDescent="0.35">
      <c r="A1204" t="s">
        <v>2507</v>
      </c>
      <c r="B1204" t="s">
        <v>2508</v>
      </c>
      <c r="C1204" s="1">
        <v>85000</v>
      </c>
      <c r="D1204" s="1">
        <v>100000</v>
      </c>
      <c r="E1204" s="2">
        <v>0.67</v>
      </c>
    </row>
    <row r="1205" spans="1:5" x14ac:dyDescent="0.35">
      <c r="A1205" t="s">
        <v>2509</v>
      </c>
      <c r="B1205" t="s">
        <v>2510</v>
      </c>
      <c r="C1205" s="1">
        <v>85000</v>
      </c>
      <c r="D1205" s="1">
        <v>100000</v>
      </c>
      <c r="E1205" s="2">
        <v>0.67</v>
      </c>
    </row>
    <row r="1206" spans="1:5" x14ac:dyDescent="0.35">
      <c r="A1206" t="s">
        <v>2511</v>
      </c>
      <c r="B1206" t="s">
        <v>2512</v>
      </c>
      <c r="C1206" s="1">
        <v>85000</v>
      </c>
      <c r="D1206" s="1">
        <v>100000</v>
      </c>
      <c r="E1206" s="2">
        <v>0.67</v>
      </c>
    </row>
    <row r="1207" spans="1:5" x14ac:dyDescent="0.35">
      <c r="A1207" t="s">
        <v>2513</v>
      </c>
      <c r="B1207" t="s">
        <v>2514</v>
      </c>
      <c r="C1207" s="1">
        <v>85000</v>
      </c>
      <c r="D1207" s="1">
        <v>100000</v>
      </c>
      <c r="E1207" s="2">
        <v>0.67</v>
      </c>
    </row>
    <row r="1208" spans="1:5" x14ac:dyDescent="0.35">
      <c r="A1208" t="s">
        <v>2515</v>
      </c>
      <c r="B1208" t="s">
        <v>2516</v>
      </c>
      <c r="C1208" s="1">
        <v>85000</v>
      </c>
      <c r="D1208" s="1">
        <v>100000</v>
      </c>
      <c r="E1208" s="2">
        <v>0.67</v>
      </c>
    </row>
    <row r="1209" spans="1:5" x14ac:dyDescent="0.35">
      <c r="A1209" t="s">
        <v>2517</v>
      </c>
      <c r="B1209" t="s">
        <v>2518</v>
      </c>
      <c r="C1209" s="1">
        <v>85000</v>
      </c>
      <c r="D1209" s="1">
        <v>100000</v>
      </c>
      <c r="E1209" s="2">
        <v>0.67</v>
      </c>
    </row>
    <row r="1210" spans="1:5" x14ac:dyDescent="0.35">
      <c r="A1210" t="s">
        <v>2519</v>
      </c>
      <c r="B1210" t="s">
        <v>2520</v>
      </c>
      <c r="C1210" s="1">
        <v>85000</v>
      </c>
      <c r="D1210" s="1">
        <v>100000</v>
      </c>
      <c r="E1210" s="2">
        <v>0.67</v>
      </c>
    </row>
    <row r="1211" spans="1:5" x14ac:dyDescent="0.35">
      <c r="A1211" t="s">
        <v>2521</v>
      </c>
      <c r="B1211" t="s">
        <v>2522</v>
      </c>
      <c r="C1211" s="1">
        <v>85000</v>
      </c>
      <c r="D1211" s="1">
        <v>100000</v>
      </c>
      <c r="E1211" s="2">
        <v>0.67</v>
      </c>
    </row>
    <row r="1212" spans="1:5" x14ac:dyDescent="0.35">
      <c r="A1212" t="s">
        <v>2523</v>
      </c>
      <c r="B1212" t="s">
        <v>2524</v>
      </c>
      <c r="C1212" s="1">
        <v>85000</v>
      </c>
      <c r="D1212" s="1">
        <v>100000</v>
      </c>
      <c r="E1212" s="2">
        <v>0.67</v>
      </c>
    </row>
    <row r="1213" spans="1:5" x14ac:dyDescent="0.35">
      <c r="A1213" t="s">
        <v>2525</v>
      </c>
      <c r="B1213" t="s">
        <v>2526</v>
      </c>
      <c r="C1213" s="1">
        <v>85000</v>
      </c>
      <c r="D1213" s="1">
        <v>100000</v>
      </c>
      <c r="E1213" s="2">
        <v>0.67</v>
      </c>
    </row>
    <row r="1214" spans="1:5" x14ac:dyDescent="0.35">
      <c r="A1214" t="s">
        <v>2527</v>
      </c>
      <c r="B1214" t="s">
        <v>2528</v>
      </c>
      <c r="C1214" s="1">
        <v>85000</v>
      </c>
      <c r="D1214" s="1">
        <v>100000</v>
      </c>
      <c r="E1214" s="5">
        <v>0.67</v>
      </c>
    </row>
    <row r="1215" spans="1:5" x14ac:dyDescent="0.35">
      <c r="A1215" t="s">
        <v>2529</v>
      </c>
      <c r="B1215" t="s">
        <v>2530</v>
      </c>
      <c r="C1215" s="1">
        <v>85000</v>
      </c>
      <c r="D1215" s="1">
        <v>100000</v>
      </c>
      <c r="E1215" s="5">
        <v>0.67</v>
      </c>
    </row>
    <row r="1216" spans="1:5" x14ac:dyDescent="0.35">
      <c r="A1216" t="s">
        <v>2531</v>
      </c>
      <c r="B1216" t="s">
        <v>2532</v>
      </c>
      <c r="C1216" s="1">
        <v>85000</v>
      </c>
      <c r="D1216" s="1">
        <v>100000</v>
      </c>
      <c r="E1216" s="5">
        <v>0.67</v>
      </c>
    </row>
    <row r="1217" spans="1:5" x14ac:dyDescent="0.35">
      <c r="A1217" t="s">
        <v>2533</v>
      </c>
      <c r="B1217" t="s">
        <v>2534</v>
      </c>
      <c r="C1217" s="1">
        <v>85000</v>
      </c>
      <c r="D1217" s="1">
        <v>100000</v>
      </c>
      <c r="E1217" s="5">
        <v>0.67</v>
      </c>
    </row>
    <row r="1218" spans="1:5" x14ac:dyDescent="0.35">
      <c r="A1218" t="s">
        <v>2535</v>
      </c>
      <c r="B1218" t="s">
        <v>2536</v>
      </c>
      <c r="C1218" s="1">
        <v>85000</v>
      </c>
      <c r="D1218" s="1">
        <v>100000</v>
      </c>
      <c r="E1218" s="5">
        <v>0.67</v>
      </c>
    </row>
    <row r="1219" spans="1:5" x14ac:dyDescent="0.35">
      <c r="A1219" t="s">
        <v>2537</v>
      </c>
      <c r="B1219" t="s">
        <v>2538</v>
      </c>
      <c r="C1219" s="1">
        <v>85000</v>
      </c>
      <c r="D1219" s="1">
        <v>100000</v>
      </c>
      <c r="E1219" s="5">
        <v>0.67</v>
      </c>
    </row>
    <row r="1220" spans="1:5" x14ac:dyDescent="0.35">
      <c r="A1220" t="s">
        <v>2539</v>
      </c>
      <c r="B1220" t="s">
        <v>2540</v>
      </c>
      <c r="C1220" s="1">
        <v>85000</v>
      </c>
      <c r="D1220" s="1">
        <v>100000</v>
      </c>
      <c r="E1220" s="5">
        <v>0.67</v>
      </c>
    </row>
    <row r="1221" spans="1:5" x14ac:dyDescent="0.35">
      <c r="A1221" t="s">
        <v>2541</v>
      </c>
      <c r="B1221" t="s">
        <v>2542</v>
      </c>
      <c r="C1221" s="1">
        <v>85000</v>
      </c>
      <c r="D1221" s="1">
        <v>100000</v>
      </c>
      <c r="E1221" s="5">
        <v>0.67</v>
      </c>
    </row>
    <row r="1222" spans="1:5" x14ac:dyDescent="0.35">
      <c r="A1222" t="s">
        <v>2543</v>
      </c>
      <c r="B1222" t="s">
        <v>2544</v>
      </c>
      <c r="C1222" s="1">
        <v>85000</v>
      </c>
      <c r="D1222" s="1">
        <v>100000</v>
      </c>
      <c r="E1222" s="5">
        <v>0.67</v>
      </c>
    </row>
    <row r="1223" spans="1:5" x14ac:dyDescent="0.35">
      <c r="A1223" t="s">
        <v>2545</v>
      </c>
      <c r="B1223" t="s">
        <v>2546</v>
      </c>
      <c r="C1223" s="1">
        <v>85000</v>
      </c>
      <c r="D1223" s="1">
        <v>100000</v>
      </c>
      <c r="E1223" s="5">
        <v>0.67</v>
      </c>
    </row>
    <row r="1224" spans="1:5" x14ac:dyDescent="0.35">
      <c r="A1224" t="s">
        <v>2547</v>
      </c>
      <c r="B1224" t="s">
        <v>2548</v>
      </c>
      <c r="C1224" s="1">
        <v>85000</v>
      </c>
      <c r="D1224" s="1">
        <v>100000</v>
      </c>
      <c r="E1224" s="5">
        <v>0.67</v>
      </c>
    </row>
    <row r="1225" spans="1:5" x14ac:dyDescent="0.35">
      <c r="A1225" t="s">
        <v>2549</v>
      </c>
      <c r="B1225" t="s">
        <v>2550</v>
      </c>
      <c r="C1225" s="1">
        <v>85000</v>
      </c>
      <c r="D1225" s="1">
        <v>100000</v>
      </c>
      <c r="E1225" s="5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2"/>
  <sheetViews>
    <sheetView topLeftCell="A105" zoomScale="130" zoomScaleNormal="130" workbookViewId="0">
      <selection activeCell="G172" sqref="G172:G195"/>
    </sheetView>
  </sheetViews>
  <sheetFormatPr defaultRowHeight="14.5" x14ac:dyDescent="0.35"/>
  <cols>
    <col min="1" max="1" width="21.7265625" bestFit="1" customWidth="1"/>
    <col min="2" max="2" width="18.54296875" bestFit="1" customWidth="1"/>
    <col min="3" max="3" width="10.81640625" bestFit="1" customWidth="1"/>
    <col min="4" max="4" width="13" bestFit="1" customWidth="1"/>
    <col min="5" max="5" width="10.26953125" bestFit="1" customWidth="1"/>
    <col min="6" max="6" width="8.81640625" bestFit="1" customWidth="1"/>
    <col min="7" max="7" width="81.1796875" bestFit="1" customWidth="1"/>
    <col min="8" max="9" width="11.81640625" bestFit="1" customWidth="1"/>
  </cols>
  <sheetData>
    <row r="3" spans="1:8" x14ac:dyDescent="0.35">
      <c r="A3" t="s">
        <v>2687</v>
      </c>
      <c r="B3" t="s">
        <v>42</v>
      </c>
      <c r="C3" t="s">
        <v>43</v>
      </c>
      <c r="D3" t="s">
        <v>44</v>
      </c>
      <c r="E3" t="s">
        <v>45</v>
      </c>
      <c r="F3" t="s">
        <v>46</v>
      </c>
      <c r="G3" t="s">
        <v>115</v>
      </c>
      <c r="H3" t="s">
        <v>116</v>
      </c>
    </row>
    <row r="4" spans="1:8" x14ac:dyDescent="0.35">
      <c r="A4" t="s">
        <v>47</v>
      </c>
      <c r="B4" t="s">
        <v>47</v>
      </c>
      <c r="C4">
        <v>1.1937899999999999</v>
      </c>
      <c r="D4">
        <v>16703</v>
      </c>
      <c r="E4">
        <v>0.22553000000000001</v>
      </c>
      <c r="F4">
        <v>0</v>
      </c>
      <c r="G4" t="s">
        <v>2585</v>
      </c>
    </row>
    <row r="5" spans="1:8" x14ac:dyDescent="0.35">
      <c r="A5" t="s">
        <v>47</v>
      </c>
      <c r="B5" t="s">
        <v>47</v>
      </c>
      <c r="C5">
        <v>1.3086199999999999</v>
      </c>
      <c r="D5">
        <v>17063</v>
      </c>
      <c r="E5">
        <v>0.15414</v>
      </c>
      <c r="F5">
        <v>1</v>
      </c>
      <c r="G5" t="s">
        <v>2586</v>
      </c>
    </row>
    <row r="6" spans="1:8" x14ac:dyDescent="0.35">
      <c r="A6" t="s">
        <v>47</v>
      </c>
      <c r="B6" t="s">
        <v>47</v>
      </c>
      <c r="C6">
        <v>1.12887</v>
      </c>
      <c r="D6">
        <v>18473</v>
      </c>
      <c r="E6">
        <v>0.19608999999999999</v>
      </c>
      <c r="F6">
        <v>2</v>
      </c>
      <c r="G6" t="s">
        <v>49</v>
      </c>
    </row>
    <row r="7" spans="1:8" x14ac:dyDescent="0.35">
      <c r="A7" t="s">
        <v>47</v>
      </c>
      <c r="B7" t="s">
        <v>47</v>
      </c>
      <c r="C7">
        <v>1.21204</v>
      </c>
      <c r="D7">
        <v>19908</v>
      </c>
      <c r="E7">
        <v>8.9349999999999999E-2</v>
      </c>
      <c r="F7">
        <v>3</v>
      </c>
      <c r="G7" t="s">
        <v>2587</v>
      </c>
    </row>
    <row r="8" spans="1:8" x14ac:dyDescent="0.35">
      <c r="A8" t="s">
        <v>47</v>
      </c>
      <c r="B8" t="s">
        <v>47</v>
      </c>
      <c r="C8">
        <v>1.16764</v>
      </c>
      <c r="D8">
        <v>21329</v>
      </c>
      <c r="E8">
        <v>0.17091000000000001</v>
      </c>
      <c r="F8">
        <v>4</v>
      </c>
      <c r="G8" t="s">
        <v>2588</v>
      </c>
    </row>
    <row r="9" spans="1:8" x14ac:dyDescent="0.35">
      <c r="A9" t="s">
        <v>47</v>
      </c>
      <c r="B9" t="s">
        <v>47</v>
      </c>
      <c r="C9">
        <v>1.12398</v>
      </c>
      <c r="D9">
        <v>20823</v>
      </c>
      <c r="E9">
        <v>6.5189999999999998E-2</v>
      </c>
      <c r="F9">
        <v>5</v>
      </c>
      <c r="G9" t="s">
        <v>50</v>
      </c>
    </row>
    <row r="10" spans="1:8" x14ac:dyDescent="0.35">
      <c r="A10" t="s">
        <v>47</v>
      </c>
      <c r="B10" t="s">
        <v>47</v>
      </c>
      <c r="C10">
        <v>1.15737</v>
      </c>
      <c r="D10">
        <v>17408</v>
      </c>
      <c r="E10">
        <v>0.17684</v>
      </c>
      <c r="F10">
        <v>6</v>
      </c>
      <c r="G10" t="s">
        <v>2589</v>
      </c>
    </row>
    <row r="11" spans="1:8" x14ac:dyDescent="0.35">
      <c r="A11" t="s">
        <v>47</v>
      </c>
      <c r="B11" t="s">
        <v>47</v>
      </c>
      <c r="C11">
        <v>1.1691100000000001</v>
      </c>
      <c r="D11">
        <v>18422</v>
      </c>
      <c r="E11">
        <v>0.17287</v>
      </c>
      <c r="F11">
        <v>7</v>
      </c>
      <c r="G11" t="s">
        <v>51</v>
      </c>
    </row>
    <row r="12" spans="1:8" x14ac:dyDescent="0.35">
      <c r="A12" t="s">
        <v>47</v>
      </c>
      <c r="B12" t="s">
        <v>47</v>
      </c>
      <c r="C12">
        <v>1.1601300000000001</v>
      </c>
      <c r="D12">
        <v>19947</v>
      </c>
      <c r="E12">
        <v>0.21279999999999999</v>
      </c>
      <c r="F12">
        <v>8</v>
      </c>
      <c r="G12" t="s">
        <v>2590</v>
      </c>
    </row>
    <row r="13" spans="1:8" x14ac:dyDescent="0.35">
      <c r="A13" t="s">
        <v>47</v>
      </c>
      <c r="B13" t="s">
        <v>47</v>
      </c>
      <c r="C13">
        <v>1.3110999999999999</v>
      </c>
      <c r="D13">
        <v>17823</v>
      </c>
      <c r="E13">
        <v>0.22742000000000001</v>
      </c>
      <c r="F13">
        <v>9</v>
      </c>
      <c r="G13" t="s">
        <v>52</v>
      </c>
    </row>
    <row r="14" spans="1:8" x14ac:dyDescent="0.35">
      <c r="A14" t="s">
        <v>47</v>
      </c>
      <c r="B14" t="s">
        <v>47</v>
      </c>
      <c r="C14">
        <v>1.0901400000000001</v>
      </c>
      <c r="D14">
        <v>18367</v>
      </c>
      <c r="E14">
        <v>0.16514000000000001</v>
      </c>
      <c r="F14">
        <v>10</v>
      </c>
      <c r="G14" t="s">
        <v>53</v>
      </c>
    </row>
    <row r="15" spans="1:8" x14ac:dyDescent="0.35">
      <c r="A15" t="s">
        <v>47</v>
      </c>
      <c r="B15" t="s">
        <v>47</v>
      </c>
      <c r="C15">
        <v>1.1359999999999999</v>
      </c>
      <c r="D15">
        <v>19560</v>
      </c>
      <c r="E15">
        <v>0.18489</v>
      </c>
      <c r="F15">
        <v>11</v>
      </c>
      <c r="G15" t="s">
        <v>54</v>
      </c>
    </row>
    <row r="16" spans="1:8" x14ac:dyDescent="0.35">
      <c r="A16" t="s">
        <v>47</v>
      </c>
      <c r="B16" t="s">
        <v>47</v>
      </c>
      <c r="C16">
        <v>1.1954</v>
      </c>
      <c r="D16">
        <v>18152</v>
      </c>
      <c r="E16">
        <v>7.1360000000000007E-2</v>
      </c>
      <c r="F16">
        <v>12</v>
      </c>
      <c r="G16" t="s">
        <v>55</v>
      </c>
    </row>
    <row r="17" spans="1:7" x14ac:dyDescent="0.35">
      <c r="A17" t="s">
        <v>47</v>
      </c>
      <c r="B17" t="s">
        <v>47</v>
      </c>
      <c r="C17">
        <v>1.1958599999999999</v>
      </c>
      <c r="D17">
        <v>21539</v>
      </c>
      <c r="E17">
        <v>0.13922000000000001</v>
      </c>
      <c r="F17">
        <v>13</v>
      </c>
      <c r="G17" t="s">
        <v>56</v>
      </c>
    </row>
    <row r="18" spans="1:7" x14ac:dyDescent="0.35">
      <c r="A18" t="s">
        <v>47</v>
      </c>
      <c r="B18" t="s">
        <v>47</v>
      </c>
      <c r="C18">
        <v>1.17936</v>
      </c>
      <c r="D18">
        <v>18861</v>
      </c>
      <c r="E18">
        <v>0.24068999999999999</v>
      </c>
      <c r="F18">
        <v>14</v>
      </c>
      <c r="G18" t="s">
        <v>2591</v>
      </c>
    </row>
    <row r="19" spans="1:7" x14ac:dyDescent="0.35">
      <c r="A19" t="s">
        <v>47</v>
      </c>
      <c r="B19" t="s">
        <v>47</v>
      </c>
      <c r="C19">
        <v>1.1330899999999999</v>
      </c>
      <c r="D19">
        <v>20616</v>
      </c>
      <c r="E19">
        <v>0.19062000000000001</v>
      </c>
      <c r="F19">
        <v>15</v>
      </c>
      <c r="G19" t="s">
        <v>2592</v>
      </c>
    </row>
    <row r="20" spans="1:7" x14ac:dyDescent="0.35">
      <c r="A20" t="s">
        <v>47</v>
      </c>
      <c r="B20" t="s">
        <v>47</v>
      </c>
      <c r="C20">
        <v>1.1294299999999999</v>
      </c>
      <c r="D20">
        <v>19305</v>
      </c>
      <c r="E20">
        <v>0.25363999999999998</v>
      </c>
      <c r="F20">
        <v>16</v>
      </c>
      <c r="G20" t="s">
        <v>2593</v>
      </c>
    </row>
    <row r="21" spans="1:7" x14ac:dyDescent="0.35">
      <c r="A21" t="s">
        <v>47</v>
      </c>
      <c r="B21" t="s">
        <v>47</v>
      </c>
      <c r="C21">
        <v>1.2162900000000001</v>
      </c>
      <c r="D21">
        <v>18263</v>
      </c>
      <c r="E21">
        <v>0.29483999999999999</v>
      </c>
      <c r="F21">
        <v>17</v>
      </c>
      <c r="G21" t="s">
        <v>57</v>
      </c>
    </row>
    <row r="22" spans="1:7" x14ac:dyDescent="0.35">
      <c r="A22" t="s">
        <v>47</v>
      </c>
      <c r="B22" t="s">
        <v>47</v>
      </c>
      <c r="C22">
        <v>1.23258</v>
      </c>
      <c r="D22">
        <v>18569</v>
      </c>
      <c r="E22">
        <v>0.20993999999999999</v>
      </c>
      <c r="F22">
        <v>18</v>
      </c>
      <c r="G22" t="s">
        <v>2594</v>
      </c>
    </row>
    <row r="23" spans="1:7" x14ac:dyDescent="0.35">
      <c r="A23" t="s">
        <v>47</v>
      </c>
      <c r="B23" t="s">
        <v>47</v>
      </c>
      <c r="C23">
        <v>1.22075</v>
      </c>
      <c r="D23">
        <v>22976</v>
      </c>
      <c r="E23">
        <v>9.3189999999999995E-2</v>
      </c>
      <c r="F23">
        <v>19</v>
      </c>
      <c r="G23" t="s">
        <v>2595</v>
      </c>
    </row>
    <row r="24" spans="1:7" x14ac:dyDescent="0.35">
      <c r="A24" t="s">
        <v>47</v>
      </c>
      <c r="B24" t="s">
        <v>47</v>
      </c>
      <c r="C24">
        <v>1.27084</v>
      </c>
      <c r="D24">
        <v>17640</v>
      </c>
      <c r="E24">
        <v>0.18445</v>
      </c>
      <c r="F24">
        <v>20</v>
      </c>
      <c r="G24" t="s">
        <v>58</v>
      </c>
    </row>
    <row r="25" spans="1:7" x14ac:dyDescent="0.35">
      <c r="A25" t="s">
        <v>47</v>
      </c>
      <c r="B25" t="s">
        <v>47</v>
      </c>
      <c r="C25">
        <v>1.17414</v>
      </c>
      <c r="D25">
        <v>20391</v>
      </c>
      <c r="E25">
        <v>0.18407999999999999</v>
      </c>
      <c r="F25">
        <v>21</v>
      </c>
      <c r="G25" t="s">
        <v>59</v>
      </c>
    </row>
    <row r="26" spans="1:7" x14ac:dyDescent="0.35">
      <c r="A26" t="s">
        <v>47</v>
      </c>
      <c r="B26" t="s">
        <v>47</v>
      </c>
      <c r="C26">
        <v>1.22088</v>
      </c>
      <c r="D26">
        <v>22652</v>
      </c>
      <c r="E26">
        <v>9.8269999999999996E-2</v>
      </c>
      <c r="F26">
        <v>22</v>
      </c>
      <c r="G26" t="s">
        <v>2596</v>
      </c>
    </row>
    <row r="27" spans="1:7" x14ac:dyDescent="0.35">
      <c r="A27" t="s">
        <v>47</v>
      </c>
      <c r="B27" t="s">
        <v>47</v>
      </c>
      <c r="C27">
        <v>1.1480900000000001</v>
      </c>
      <c r="D27">
        <v>21045</v>
      </c>
      <c r="E27">
        <v>0.14926</v>
      </c>
      <c r="F27">
        <v>23</v>
      </c>
      <c r="G27" t="s">
        <v>2597</v>
      </c>
    </row>
    <row r="28" spans="1:7" x14ac:dyDescent="0.35">
      <c r="A28" t="s">
        <v>47</v>
      </c>
      <c r="B28" t="s">
        <v>47</v>
      </c>
      <c r="C28">
        <v>1.1808700000000001</v>
      </c>
      <c r="D28">
        <v>23402</v>
      </c>
      <c r="E28">
        <v>0.18479000000000001</v>
      </c>
      <c r="F28">
        <v>24</v>
      </c>
      <c r="G28" t="s">
        <v>2598</v>
      </c>
    </row>
    <row r="29" spans="1:7" x14ac:dyDescent="0.35">
      <c r="A29" t="s">
        <v>47</v>
      </c>
      <c r="B29" t="s">
        <v>47</v>
      </c>
      <c r="C29">
        <v>1.16611</v>
      </c>
      <c r="D29">
        <v>18501</v>
      </c>
      <c r="E29">
        <v>0.27051999999999998</v>
      </c>
      <c r="F29">
        <v>25</v>
      </c>
      <c r="G29" t="s">
        <v>60</v>
      </c>
    </row>
    <row r="30" spans="1:7" x14ac:dyDescent="0.35">
      <c r="A30" t="s">
        <v>47</v>
      </c>
      <c r="B30" t="s">
        <v>47</v>
      </c>
      <c r="C30">
        <v>1.0737399999999999</v>
      </c>
      <c r="D30">
        <v>17295</v>
      </c>
      <c r="E30">
        <v>0.45923000000000003</v>
      </c>
      <c r="F30">
        <v>26</v>
      </c>
      <c r="G30" t="s">
        <v>61</v>
      </c>
    </row>
    <row r="31" spans="1:7" x14ac:dyDescent="0.35">
      <c r="A31" t="s">
        <v>47</v>
      </c>
      <c r="B31" t="s">
        <v>47</v>
      </c>
      <c r="C31">
        <v>1.1099699999999999</v>
      </c>
      <c r="D31">
        <v>20110</v>
      </c>
      <c r="E31">
        <v>0.19367000000000001</v>
      </c>
      <c r="F31">
        <v>27</v>
      </c>
      <c r="G31" t="s">
        <v>2599</v>
      </c>
    </row>
    <row r="32" spans="1:7" x14ac:dyDescent="0.35">
      <c r="A32" t="s">
        <v>47</v>
      </c>
      <c r="B32" t="s">
        <v>47</v>
      </c>
      <c r="C32">
        <v>1.1493599999999999</v>
      </c>
      <c r="D32">
        <v>22814</v>
      </c>
      <c r="E32">
        <v>0.13055</v>
      </c>
      <c r="F32">
        <v>28</v>
      </c>
      <c r="G32" t="s">
        <v>62</v>
      </c>
    </row>
    <row r="33" spans="1:7" x14ac:dyDescent="0.35">
      <c r="A33" t="s">
        <v>47</v>
      </c>
      <c r="B33" t="s">
        <v>47</v>
      </c>
      <c r="C33">
        <v>1.1685000000000001</v>
      </c>
      <c r="D33">
        <v>21065</v>
      </c>
      <c r="E33">
        <v>0.17024</v>
      </c>
      <c r="F33">
        <v>29</v>
      </c>
      <c r="G33" t="s">
        <v>63</v>
      </c>
    </row>
    <row r="34" spans="1:7" x14ac:dyDescent="0.35">
      <c r="A34" t="s">
        <v>47</v>
      </c>
      <c r="B34" t="s">
        <v>47</v>
      </c>
      <c r="C34">
        <v>1.23224</v>
      </c>
      <c r="D34">
        <v>21920</v>
      </c>
      <c r="E34">
        <v>0.20719000000000001</v>
      </c>
      <c r="F34">
        <v>30</v>
      </c>
      <c r="G34" t="s">
        <v>2600</v>
      </c>
    </row>
    <row r="35" spans="1:7" x14ac:dyDescent="0.35">
      <c r="A35" t="s">
        <v>47</v>
      </c>
      <c r="B35" t="s">
        <v>47</v>
      </c>
      <c r="C35">
        <v>1.2356400000000001</v>
      </c>
      <c r="D35">
        <v>20926</v>
      </c>
      <c r="E35">
        <v>0.11608</v>
      </c>
      <c r="F35">
        <v>31</v>
      </c>
      <c r="G35" t="s">
        <v>2601</v>
      </c>
    </row>
    <row r="36" spans="1:7" x14ac:dyDescent="0.35">
      <c r="A36" t="s">
        <v>47</v>
      </c>
      <c r="B36" t="s">
        <v>47</v>
      </c>
      <c r="C36">
        <v>1.1761600000000001</v>
      </c>
      <c r="D36">
        <v>22361</v>
      </c>
      <c r="E36">
        <v>0.12324</v>
      </c>
      <c r="F36">
        <v>32</v>
      </c>
      <c r="G36" t="s">
        <v>2602</v>
      </c>
    </row>
    <row r="37" spans="1:7" x14ac:dyDescent="0.35">
      <c r="A37" t="s">
        <v>47</v>
      </c>
      <c r="B37" t="s">
        <v>47</v>
      </c>
      <c r="C37">
        <v>1.1270500000000001</v>
      </c>
      <c r="D37">
        <v>20710</v>
      </c>
      <c r="E37">
        <v>0.12255000000000001</v>
      </c>
      <c r="F37">
        <v>33</v>
      </c>
      <c r="G37" t="s">
        <v>2603</v>
      </c>
    </row>
    <row r="38" spans="1:7" x14ac:dyDescent="0.35">
      <c r="A38" t="s">
        <v>47</v>
      </c>
      <c r="B38" t="s">
        <v>47</v>
      </c>
      <c r="C38">
        <v>1.1794500000000001</v>
      </c>
      <c r="D38">
        <v>19315</v>
      </c>
      <c r="E38">
        <v>9.2679999999999998E-2</v>
      </c>
      <c r="F38">
        <v>34</v>
      </c>
      <c r="G38" t="s">
        <v>2604</v>
      </c>
    </row>
    <row r="39" spans="1:7" x14ac:dyDescent="0.35">
      <c r="A39" t="s">
        <v>47</v>
      </c>
      <c r="B39" t="s">
        <v>47</v>
      </c>
      <c r="C39">
        <v>1.29328</v>
      </c>
      <c r="D39">
        <v>21431</v>
      </c>
      <c r="E39">
        <v>0.10983</v>
      </c>
      <c r="F39">
        <v>35</v>
      </c>
      <c r="G39" t="s">
        <v>2605</v>
      </c>
    </row>
    <row r="40" spans="1:7" x14ac:dyDescent="0.35">
      <c r="A40" t="s">
        <v>47</v>
      </c>
      <c r="B40" t="s">
        <v>47</v>
      </c>
      <c r="C40">
        <v>1.1561600000000001</v>
      </c>
      <c r="D40">
        <v>18915</v>
      </c>
      <c r="E40">
        <v>0.14801</v>
      </c>
      <c r="F40">
        <v>36</v>
      </c>
      <c r="G40" t="s">
        <v>2606</v>
      </c>
    </row>
    <row r="41" spans="1:7" x14ac:dyDescent="0.35">
      <c r="A41" t="s">
        <v>47</v>
      </c>
      <c r="B41" t="s">
        <v>47</v>
      </c>
      <c r="C41">
        <v>1.1956899999999999</v>
      </c>
      <c r="D41">
        <v>20229</v>
      </c>
      <c r="E41">
        <v>0.18253</v>
      </c>
      <c r="F41">
        <v>37</v>
      </c>
      <c r="G41" t="s">
        <v>2607</v>
      </c>
    </row>
    <row r="42" spans="1:7" x14ac:dyDescent="0.35">
      <c r="A42" t="s">
        <v>47</v>
      </c>
      <c r="B42" t="s">
        <v>47</v>
      </c>
      <c r="C42">
        <v>1.23224</v>
      </c>
      <c r="D42">
        <v>23519</v>
      </c>
      <c r="E42">
        <v>0.27628000000000003</v>
      </c>
      <c r="F42">
        <v>38</v>
      </c>
      <c r="G42" t="s">
        <v>2608</v>
      </c>
    </row>
    <row r="43" spans="1:7" x14ac:dyDescent="0.35">
      <c r="A43" t="s">
        <v>47</v>
      </c>
      <c r="B43" t="s">
        <v>47</v>
      </c>
      <c r="C43">
        <v>1.12181</v>
      </c>
      <c r="D43">
        <v>21652</v>
      </c>
      <c r="E43">
        <v>0.11579</v>
      </c>
      <c r="F43">
        <v>39</v>
      </c>
      <c r="G43" t="s">
        <v>2609</v>
      </c>
    </row>
    <row r="44" spans="1:7" x14ac:dyDescent="0.35">
      <c r="A44" t="s">
        <v>47</v>
      </c>
      <c r="B44" t="s">
        <v>47</v>
      </c>
      <c r="C44">
        <v>1.2320599999999999</v>
      </c>
      <c r="D44">
        <v>15546</v>
      </c>
      <c r="E44">
        <v>0.21931</v>
      </c>
      <c r="F44">
        <v>40</v>
      </c>
      <c r="G44" t="s">
        <v>2610</v>
      </c>
    </row>
    <row r="45" spans="1:7" x14ac:dyDescent="0.35">
      <c r="A45" t="s">
        <v>47</v>
      </c>
      <c r="B45" t="s">
        <v>47</v>
      </c>
      <c r="C45">
        <v>1.5149999999999999</v>
      </c>
      <c r="D45">
        <v>23311</v>
      </c>
      <c r="E45">
        <v>0.71294999999999997</v>
      </c>
      <c r="F45">
        <v>41</v>
      </c>
      <c r="G45" t="s">
        <v>2611</v>
      </c>
    </row>
    <row r="46" spans="1:7" x14ac:dyDescent="0.35">
      <c r="A46" t="s">
        <v>48</v>
      </c>
      <c r="B46" t="s">
        <v>48</v>
      </c>
      <c r="C46">
        <v>1.16482</v>
      </c>
      <c r="D46">
        <v>23311</v>
      </c>
      <c r="E46">
        <v>0.71294999999999997</v>
      </c>
      <c r="F46">
        <v>42</v>
      </c>
      <c r="G46" t="s">
        <v>2611</v>
      </c>
    </row>
    <row r="47" spans="1:7" x14ac:dyDescent="0.35">
      <c r="A47" t="s">
        <v>47</v>
      </c>
      <c r="B47" t="s">
        <v>47</v>
      </c>
      <c r="C47">
        <v>1.2760899999999999</v>
      </c>
      <c r="D47">
        <v>18785</v>
      </c>
      <c r="E47">
        <v>0.24212</v>
      </c>
      <c r="F47">
        <v>43</v>
      </c>
      <c r="G47" t="s">
        <v>2612</v>
      </c>
    </row>
    <row r="48" spans="1:7" x14ac:dyDescent="0.35">
      <c r="A48" t="s">
        <v>48</v>
      </c>
      <c r="B48" t="s">
        <v>48</v>
      </c>
      <c r="C48">
        <v>1.22706</v>
      </c>
      <c r="D48">
        <v>18785</v>
      </c>
      <c r="E48">
        <v>0.24212</v>
      </c>
      <c r="F48">
        <v>44</v>
      </c>
      <c r="G48" t="s">
        <v>2612</v>
      </c>
    </row>
    <row r="49" spans="1:7" x14ac:dyDescent="0.35">
      <c r="A49" t="s">
        <v>47</v>
      </c>
      <c r="B49" t="s">
        <v>47</v>
      </c>
      <c r="C49">
        <v>1.1695500000000001</v>
      </c>
      <c r="D49">
        <v>22111</v>
      </c>
      <c r="E49">
        <v>0.20732999999999999</v>
      </c>
      <c r="F49">
        <v>45</v>
      </c>
      <c r="G49" t="s">
        <v>2613</v>
      </c>
    </row>
    <row r="50" spans="1:7" x14ac:dyDescent="0.35">
      <c r="A50" t="s">
        <v>47</v>
      </c>
      <c r="B50" t="s">
        <v>47</v>
      </c>
      <c r="C50">
        <v>2.54603</v>
      </c>
      <c r="D50">
        <v>25390</v>
      </c>
      <c r="E50">
        <v>0.43273</v>
      </c>
      <c r="F50">
        <v>46</v>
      </c>
      <c r="G50" t="s">
        <v>2614</v>
      </c>
    </row>
    <row r="51" spans="1:7" x14ac:dyDescent="0.35">
      <c r="A51" t="s">
        <v>47</v>
      </c>
      <c r="B51" t="s">
        <v>47</v>
      </c>
      <c r="C51">
        <v>1.36714</v>
      </c>
      <c r="D51">
        <v>18170</v>
      </c>
      <c r="E51">
        <v>0.13000999999999999</v>
      </c>
      <c r="F51">
        <v>47</v>
      </c>
      <c r="G51" t="s">
        <v>2615</v>
      </c>
    </row>
    <row r="52" spans="1:7" x14ac:dyDescent="0.35">
      <c r="A52" t="s">
        <v>47</v>
      </c>
      <c r="B52" t="s">
        <v>47</v>
      </c>
      <c r="C52">
        <v>1.18981</v>
      </c>
      <c r="D52">
        <v>24700</v>
      </c>
      <c r="E52">
        <v>0.50946000000000002</v>
      </c>
      <c r="F52">
        <v>48</v>
      </c>
      <c r="G52" t="s">
        <v>2616</v>
      </c>
    </row>
    <row r="53" spans="1:7" x14ac:dyDescent="0.35">
      <c r="A53" t="s">
        <v>48</v>
      </c>
      <c r="B53" t="s">
        <v>48</v>
      </c>
      <c r="C53">
        <v>1.12104</v>
      </c>
      <c r="D53">
        <v>24700</v>
      </c>
      <c r="E53">
        <v>0.50946000000000002</v>
      </c>
      <c r="F53">
        <v>49</v>
      </c>
      <c r="G53" t="s">
        <v>2616</v>
      </c>
    </row>
    <row r="54" spans="1:7" x14ac:dyDescent="0.35">
      <c r="A54" t="s">
        <v>47</v>
      </c>
      <c r="B54" t="s">
        <v>47</v>
      </c>
      <c r="C54">
        <v>1.1623699999999999</v>
      </c>
      <c r="D54">
        <v>21989</v>
      </c>
      <c r="E54">
        <v>0.23916999999999999</v>
      </c>
      <c r="F54">
        <v>50</v>
      </c>
      <c r="G54" t="s">
        <v>2617</v>
      </c>
    </row>
    <row r="55" spans="1:7" x14ac:dyDescent="0.35">
      <c r="A55" t="s">
        <v>47</v>
      </c>
      <c r="B55" t="s">
        <v>47</v>
      </c>
      <c r="C55">
        <v>1.1555500000000001</v>
      </c>
      <c r="D55">
        <v>18785</v>
      </c>
      <c r="E55">
        <v>0.21245</v>
      </c>
      <c r="F55">
        <v>51</v>
      </c>
      <c r="G55" t="s">
        <v>2618</v>
      </c>
    </row>
    <row r="56" spans="1:7" x14ac:dyDescent="0.35">
      <c r="A56" t="s">
        <v>48</v>
      </c>
      <c r="B56" t="s">
        <v>48</v>
      </c>
      <c r="C56">
        <v>1.1359600000000001</v>
      </c>
      <c r="D56">
        <v>18785</v>
      </c>
      <c r="E56">
        <v>0.21245</v>
      </c>
      <c r="F56">
        <v>52</v>
      </c>
      <c r="G56" t="s">
        <v>2618</v>
      </c>
    </row>
    <row r="57" spans="1:7" x14ac:dyDescent="0.35">
      <c r="A57" t="s">
        <v>47</v>
      </c>
      <c r="B57" t="s">
        <v>47</v>
      </c>
      <c r="C57">
        <v>1.1681999999999999</v>
      </c>
      <c r="D57">
        <v>19757</v>
      </c>
      <c r="E57">
        <v>0.71655000000000002</v>
      </c>
      <c r="F57">
        <v>53</v>
      </c>
      <c r="G57" t="s">
        <v>2619</v>
      </c>
    </row>
    <row r="58" spans="1:7" x14ac:dyDescent="0.35">
      <c r="A58" t="s">
        <v>48</v>
      </c>
      <c r="B58" t="s">
        <v>48</v>
      </c>
      <c r="C58">
        <v>1.13659</v>
      </c>
      <c r="D58">
        <v>19757</v>
      </c>
      <c r="E58">
        <v>0.71655000000000002</v>
      </c>
      <c r="F58">
        <v>54</v>
      </c>
      <c r="G58" t="s">
        <v>2619</v>
      </c>
    </row>
    <row r="59" spans="1:7" x14ac:dyDescent="0.35">
      <c r="A59" t="s">
        <v>47</v>
      </c>
      <c r="B59" t="s">
        <v>47</v>
      </c>
      <c r="C59">
        <v>1.1631800000000001</v>
      </c>
      <c r="D59">
        <v>17949</v>
      </c>
      <c r="E59">
        <v>7.3480000000000004E-2</v>
      </c>
      <c r="F59">
        <v>55</v>
      </c>
      <c r="G59" t="s">
        <v>2620</v>
      </c>
    </row>
    <row r="60" spans="1:7" x14ac:dyDescent="0.35">
      <c r="A60" t="s">
        <v>47</v>
      </c>
      <c r="B60" t="s">
        <v>47</v>
      </c>
      <c r="C60">
        <v>1.23319</v>
      </c>
      <c r="D60">
        <v>16305</v>
      </c>
      <c r="E60">
        <v>0.11969</v>
      </c>
      <c r="F60">
        <v>56</v>
      </c>
      <c r="G60" t="s">
        <v>2621</v>
      </c>
    </row>
    <row r="61" spans="1:7" x14ac:dyDescent="0.35">
      <c r="A61" t="s">
        <v>48</v>
      </c>
      <c r="B61" t="s">
        <v>48</v>
      </c>
      <c r="C61">
        <v>1.1634800000000001</v>
      </c>
      <c r="D61">
        <v>16305</v>
      </c>
      <c r="E61">
        <v>0.11969</v>
      </c>
      <c r="F61">
        <v>57</v>
      </c>
      <c r="G61" t="s">
        <v>2621</v>
      </c>
    </row>
    <row r="62" spans="1:7" x14ac:dyDescent="0.35">
      <c r="A62" t="s">
        <v>47</v>
      </c>
      <c r="B62" t="s">
        <v>47</v>
      </c>
      <c r="C62">
        <v>1.14002</v>
      </c>
      <c r="D62">
        <v>20598</v>
      </c>
      <c r="E62">
        <v>0.35326000000000002</v>
      </c>
      <c r="F62">
        <v>58</v>
      </c>
      <c r="G62" t="s">
        <v>2622</v>
      </c>
    </row>
    <row r="63" spans="1:7" x14ac:dyDescent="0.35">
      <c r="A63" t="s">
        <v>48</v>
      </c>
      <c r="B63" t="s">
        <v>48</v>
      </c>
      <c r="C63">
        <v>1.1118699999999999</v>
      </c>
      <c r="D63">
        <v>20598</v>
      </c>
      <c r="E63">
        <v>0.35326000000000002</v>
      </c>
      <c r="F63">
        <v>59</v>
      </c>
      <c r="G63" t="s">
        <v>2622</v>
      </c>
    </row>
    <row r="64" spans="1:7" x14ac:dyDescent="0.35">
      <c r="A64" t="s">
        <v>47</v>
      </c>
      <c r="B64" t="s">
        <v>47</v>
      </c>
      <c r="C64">
        <v>1.12355</v>
      </c>
      <c r="D64">
        <v>18118</v>
      </c>
      <c r="E64">
        <v>0.18668000000000001</v>
      </c>
      <c r="F64">
        <v>60</v>
      </c>
      <c r="G64" t="s">
        <v>64</v>
      </c>
    </row>
    <row r="65" spans="1:7" x14ac:dyDescent="0.35">
      <c r="A65" t="s">
        <v>47</v>
      </c>
      <c r="B65" t="s">
        <v>47</v>
      </c>
      <c r="C65">
        <v>1.11337</v>
      </c>
      <c r="D65">
        <v>13917</v>
      </c>
      <c r="E65">
        <v>0.25381999999999999</v>
      </c>
      <c r="F65">
        <v>61</v>
      </c>
      <c r="G65" t="s">
        <v>2623</v>
      </c>
    </row>
    <row r="66" spans="1:7" x14ac:dyDescent="0.35">
      <c r="A66" t="s">
        <v>47</v>
      </c>
      <c r="B66" t="s">
        <v>47</v>
      </c>
      <c r="C66">
        <v>1.08429</v>
      </c>
      <c r="D66">
        <v>14086</v>
      </c>
      <c r="E66">
        <v>0.29814000000000002</v>
      </c>
      <c r="F66">
        <v>62</v>
      </c>
      <c r="G66" t="s">
        <v>65</v>
      </c>
    </row>
    <row r="67" spans="1:7" x14ac:dyDescent="0.35">
      <c r="A67" t="s">
        <v>47</v>
      </c>
      <c r="B67" t="s">
        <v>47</v>
      </c>
      <c r="C67">
        <v>1.0907500000000001</v>
      </c>
      <c r="D67">
        <v>18451</v>
      </c>
      <c r="E67">
        <v>0.1333</v>
      </c>
      <c r="F67">
        <v>63</v>
      </c>
      <c r="G67" t="s">
        <v>66</v>
      </c>
    </row>
    <row r="68" spans="1:7" x14ac:dyDescent="0.35">
      <c r="A68" t="s">
        <v>47</v>
      </c>
      <c r="B68" t="s">
        <v>47</v>
      </c>
      <c r="C68">
        <v>8.0460000000000004E-2</v>
      </c>
      <c r="F68">
        <v>64</v>
      </c>
      <c r="G68" t="s">
        <v>66</v>
      </c>
    </row>
    <row r="69" spans="1:7" x14ac:dyDescent="0.35">
      <c r="A69" t="s">
        <v>47</v>
      </c>
      <c r="B69" t="s">
        <v>47</v>
      </c>
      <c r="C69">
        <v>1.19556</v>
      </c>
      <c r="D69">
        <v>17701</v>
      </c>
      <c r="E69">
        <v>0.16259999999999999</v>
      </c>
      <c r="F69">
        <v>65</v>
      </c>
      <c r="G69" t="s">
        <v>67</v>
      </c>
    </row>
    <row r="70" spans="1:7" x14ac:dyDescent="0.35">
      <c r="A70" t="s">
        <v>47</v>
      </c>
      <c r="B70" t="s">
        <v>47</v>
      </c>
      <c r="C70">
        <v>1.0936699999999999</v>
      </c>
      <c r="D70">
        <v>20074</v>
      </c>
      <c r="E70">
        <v>0.44291000000000003</v>
      </c>
      <c r="F70">
        <v>66</v>
      </c>
      <c r="G70" t="s">
        <v>68</v>
      </c>
    </row>
    <row r="71" spans="1:7" x14ac:dyDescent="0.35">
      <c r="A71" t="s">
        <v>47</v>
      </c>
      <c r="B71" t="s">
        <v>47</v>
      </c>
      <c r="C71">
        <v>1.23203</v>
      </c>
      <c r="D71">
        <v>21566</v>
      </c>
      <c r="E71">
        <v>0.39552999999999999</v>
      </c>
      <c r="F71">
        <v>67</v>
      </c>
      <c r="G71" t="s">
        <v>69</v>
      </c>
    </row>
    <row r="72" spans="1:7" x14ac:dyDescent="0.35">
      <c r="A72" t="s">
        <v>47</v>
      </c>
      <c r="B72" t="s">
        <v>47</v>
      </c>
      <c r="C72">
        <v>1.1195900000000001</v>
      </c>
      <c r="D72">
        <v>25343</v>
      </c>
      <c r="E72">
        <v>0.56618000000000002</v>
      </c>
      <c r="F72">
        <v>68</v>
      </c>
      <c r="G72" t="s">
        <v>2624</v>
      </c>
    </row>
    <row r="73" spans="1:7" x14ac:dyDescent="0.35">
      <c r="A73" t="s">
        <v>48</v>
      </c>
      <c r="B73" t="s">
        <v>48</v>
      </c>
      <c r="C73">
        <v>1.2326900000000001</v>
      </c>
      <c r="D73">
        <v>25343</v>
      </c>
      <c r="E73">
        <v>0.56618000000000002</v>
      </c>
      <c r="F73">
        <v>69</v>
      </c>
      <c r="G73" t="s">
        <v>2624</v>
      </c>
    </row>
    <row r="74" spans="1:7" x14ac:dyDescent="0.35">
      <c r="A74" t="s">
        <v>47</v>
      </c>
      <c r="B74" t="s">
        <v>47</v>
      </c>
      <c r="C74">
        <v>1.1789400000000001</v>
      </c>
      <c r="D74">
        <v>19836</v>
      </c>
      <c r="E74">
        <v>0.17721999999999999</v>
      </c>
      <c r="F74">
        <v>70</v>
      </c>
      <c r="G74" t="s">
        <v>70</v>
      </c>
    </row>
    <row r="75" spans="1:7" x14ac:dyDescent="0.35">
      <c r="A75" t="s">
        <v>47</v>
      </c>
      <c r="B75" t="s">
        <v>47</v>
      </c>
      <c r="C75">
        <v>1.10151</v>
      </c>
      <c r="D75">
        <v>17544</v>
      </c>
      <c r="E75">
        <v>0.26178000000000001</v>
      </c>
      <c r="F75">
        <v>71</v>
      </c>
      <c r="G75" t="s">
        <v>2625</v>
      </c>
    </row>
    <row r="76" spans="1:7" x14ac:dyDescent="0.35">
      <c r="A76" t="s">
        <v>47</v>
      </c>
      <c r="B76" t="s">
        <v>47</v>
      </c>
      <c r="C76">
        <v>1.0708500000000001</v>
      </c>
      <c r="D76">
        <v>24412</v>
      </c>
      <c r="E76">
        <v>0.40034999999999998</v>
      </c>
      <c r="F76">
        <v>72</v>
      </c>
      <c r="G76" t="s">
        <v>71</v>
      </c>
    </row>
    <row r="77" spans="1:7" x14ac:dyDescent="0.35">
      <c r="A77" t="s">
        <v>47</v>
      </c>
      <c r="B77" t="s">
        <v>47</v>
      </c>
      <c r="C77">
        <v>1.15357</v>
      </c>
      <c r="D77">
        <v>21939</v>
      </c>
      <c r="E77">
        <v>0.42248999999999998</v>
      </c>
      <c r="F77">
        <v>73</v>
      </c>
      <c r="G77" t="s">
        <v>2626</v>
      </c>
    </row>
    <row r="78" spans="1:7" x14ac:dyDescent="0.35">
      <c r="A78" t="s">
        <v>47</v>
      </c>
      <c r="B78" t="s">
        <v>47</v>
      </c>
      <c r="C78">
        <v>1.2361</v>
      </c>
      <c r="D78">
        <v>23515</v>
      </c>
      <c r="E78">
        <v>0.2863</v>
      </c>
      <c r="F78">
        <v>74</v>
      </c>
      <c r="G78" t="s">
        <v>2627</v>
      </c>
    </row>
    <row r="79" spans="1:7" x14ac:dyDescent="0.35">
      <c r="A79" t="s">
        <v>48</v>
      </c>
      <c r="B79" t="s">
        <v>48</v>
      </c>
      <c r="C79">
        <v>1.1187499999999999</v>
      </c>
      <c r="D79">
        <v>23515</v>
      </c>
      <c r="E79">
        <v>0.2863</v>
      </c>
      <c r="F79">
        <v>75</v>
      </c>
      <c r="G79" t="s">
        <v>2627</v>
      </c>
    </row>
    <row r="80" spans="1:7" x14ac:dyDescent="0.35">
      <c r="A80" t="s">
        <v>47</v>
      </c>
      <c r="B80" t="s">
        <v>47</v>
      </c>
      <c r="C80">
        <v>1.1651899999999999</v>
      </c>
      <c r="D80">
        <v>19767</v>
      </c>
      <c r="E80">
        <v>0.32490999999999998</v>
      </c>
      <c r="F80">
        <v>76</v>
      </c>
      <c r="G80" t="s">
        <v>2628</v>
      </c>
    </row>
    <row r="81" spans="1:7" x14ac:dyDescent="0.35">
      <c r="A81" t="s">
        <v>47</v>
      </c>
      <c r="B81" t="s">
        <v>47</v>
      </c>
      <c r="C81">
        <v>1.13747</v>
      </c>
      <c r="D81">
        <v>21043</v>
      </c>
      <c r="E81">
        <v>0.21992</v>
      </c>
      <c r="F81">
        <v>77</v>
      </c>
      <c r="G81" t="s">
        <v>72</v>
      </c>
    </row>
    <row r="82" spans="1:7" x14ac:dyDescent="0.35">
      <c r="A82" t="s">
        <v>47</v>
      </c>
      <c r="B82" t="s">
        <v>47</v>
      </c>
      <c r="C82">
        <v>1.0905499999999999</v>
      </c>
      <c r="D82">
        <v>20321</v>
      </c>
      <c r="E82">
        <v>0.14535000000000001</v>
      </c>
      <c r="F82">
        <v>78</v>
      </c>
      <c r="G82" t="s">
        <v>2629</v>
      </c>
    </row>
    <row r="83" spans="1:7" x14ac:dyDescent="0.35">
      <c r="A83" t="s">
        <v>47</v>
      </c>
      <c r="B83" t="s">
        <v>47</v>
      </c>
      <c r="C83">
        <v>1.0798000000000001</v>
      </c>
      <c r="D83">
        <v>19443</v>
      </c>
      <c r="E83">
        <v>0.19203999999999999</v>
      </c>
      <c r="F83">
        <v>79</v>
      </c>
      <c r="G83" t="s">
        <v>73</v>
      </c>
    </row>
    <row r="84" spans="1:7" x14ac:dyDescent="0.35">
      <c r="A84" t="s">
        <v>47</v>
      </c>
      <c r="B84" t="s">
        <v>47</v>
      </c>
      <c r="C84">
        <v>1.14283</v>
      </c>
      <c r="D84">
        <v>18364</v>
      </c>
      <c r="E84">
        <v>0.18184</v>
      </c>
      <c r="F84">
        <v>80</v>
      </c>
      <c r="G84" t="s">
        <v>74</v>
      </c>
    </row>
    <row r="85" spans="1:7" x14ac:dyDescent="0.35">
      <c r="A85" t="s">
        <v>47</v>
      </c>
      <c r="B85" t="s">
        <v>47</v>
      </c>
      <c r="C85">
        <v>1.1505700000000001</v>
      </c>
      <c r="D85">
        <v>22753</v>
      </c>
      <c r="E85">
        <v>0.26441999999999999</v>
      </c>
      <c r="F85">
        <v>81</v>
      </c>
      <c r="G85" t="s">
        <v>2630</v>
      </c>
    </row>
    <row r="86" spans="1:7" x14ac:dyDescent="0.35">
      <c r="A86" t="s">
        <v>47</v>
      </c>
      <c r="B86" t="s">
        <v>47</v>
      </c>
      <c r="C86">
        <v>1.1772899999999999</v>
      </c>
      <c r="D86">
        <v>16942</v>
      </c>
      <c r="E86">
        <v>0.26261000000000001</v>
      </c>
      <c r="F86">
        <v>82</v>
      </c>
      <c r="G86" t="s">
        <v>2631</v>
      </c>
    </row>
    <row r="87" spans="1:7" x14ac:dyDescent="0.35">
      <c r="A87" t="s">
        <v>47</v>
      </c>
      <c r="B87" t="s">
        <v>47</v>
      </c>
      <c r="C87">
        <v>1.1211500000000001</v>
      </c>
      <c r="D87">
        <v>25390</v>
      </c>
      <c r="E87">
        <v>0.23572000000000001</v>
      </c>
      <c r="F87">
        <v>83</v>
      </c>
      <c r="G87" t="s">
        <v>75</v>
      </c>
    </row>
    <row r="88" spans="1:7" x14ac:dyDescent="0.35">
      <c r="A88" t="s">
        <v>47</v>
      </c>
      <c r="B88" t="s">
        <v>47</v>
      </c>
      <c r="C88">
        <v>1.23203</v>
      </c>
      <c r="D88">
        <v>25390</v>
      </c>
      <c r="E88">
        <v>0.21310000000000001</v>
      </c>
      <c r="F88">
        <v>84</v>
      </c>
      <c r="G88" t="s">
        <v>76</v>
      </c>
    </row>
    <row r="89" spans="1:7" x14ac:dyDescent="0.35">
      <c r="A89" t="s">
        <v>47</v>
      </c>
      <c r="B89" t="s">
        <v>47</v>
      </c>
      <c r="C89">
        <v>1.0606199999999999</v>
      </c>
      <c r="D89">
        <v>17437</v>
      </c>
      <c r="E89">
        <v>0.28927999999999998</v>
      </c>
      <c r="F89">
        <v>85</v>
      </c>
      <c r="G89" t="s">
        <v>2632</v>
      </c>
    </row>
    <row r="90" spans="1:7" x14ac:dyDescent="0.35">
      <c r="A90" t="s">
        <v>47</v>
      </c>
      <c r="B90" t="s">
        <v>47</v>
      </c>
      <c r="C90">
        <v>1.07731</v>
      </c>
      <c r="D90">
        <v>23585</v>
      </c>
      <c r="E90">
        <v>0.48522999999999999</v>
      </c>
      <c r="F90">
        <v>86</v>
      </c>
      <c r="G90" t="s">
        <v>2633</v>
      </c>
    </row>
    <row r="91" spans="1:7" x14ac:dyDescent="0.35">
      <c r="A91" t="s">
        <v>47</v>
      </c>
      <c r="B91" t="s">
        <v>47</v>
      </c>
      <c r="C91">
        <v>1.1307</v>
      </c>
      <c r="D91">
        <v>21962</v>
      </c>
      <c r="E91">
        <v>0.14849000000000001</v>
      </c>
      <c r="F91">
        <v>87</v>
      </c>
      <c r="G91" t="s">
        <v>2634</v>
      </c>
    </row>
    <row r="92" spans="1:7" x14ac:dyDescent="0.35">
      <c r="A92" t="s">
        <v>48</v>
      </c>
      <c r="B92" t="s">
        <v>48</v>
      </c>
      <c r="C92">
        <v>1.2435499999999999</v>
      </c>
      <c r="D92">
        <v>21962</v>
      </c>
      <c r="E92">
        <v>0.14849000000000001</v>
      </c>
      <c r="F92">
        <v>88</v>
      </c>
      <c r="G92" t="s">
        <v>2634</v>
      </c>
    </row>
    <row r="93" spans="1:7" x14ac:dyDescent="0.35">
      <c r="A93" t="s">
        <v>47</v>
      </c>
      <c r="B93" t="s">
        <v>47</v>
      </c>
      <c r="C93">
        <v>1.15405</v>
      </c>
      <c r="D93">
        <v>16834</v>
      </c>
      <c r="E93">
        <v>0.41938999999999999</v>
      </c>
      <c r="F93">
        <v>89</v>
      </c>
      <c r="G93" t="s">
        <v>77</v>
      </c>
    </row>
    <row r="94" spans="1:7" x14ac:dyDescent="0.35">
      <c r="A94" t="s">
        <v>48</v>
      </c>
      <c r="B94" t="s">
        <v>48</v>
      </c>
      <c r="C94">
        <v>1.16218</v>
      </c>
      <c r="D94">
        <v>16834</v>
      </c>
      <c r="E94">
        <v>0.41938999999999999</v>
      </c>
      <c r="F94">
        <v>90</v>
      </c>
      <c r="G94" t="s">
        <v>77</v>
      </c>
    </row>
    <row r="95" spans="1:7" x14ac:dyDescent="0.35">
      <c r="A95" t="s">
        <v>47</v>
      </c>
      <c r="B95" t="s">
        <v>47</v>
      </c>
      <c r="C95">
        <v>1.11622</v>
      </c>
      <c r="D95">
        <v>19818</v>
      </c>
      <c r="E95">
        <v>0.29352</v>
      </c>
      <c r="F95">
        <v>91</v>
      </c>
      <c r="G95" t="s">
        <v>78</v>
      </c>
    </row>
    <row r="96" spans="1:7" x14ac:dyDescent="0.35">
      <c r="A96" t="s">
        <v>47</v>
      </c>
      <c r="B96" t="s">
        <v>47</v>
      </c>
      <c r="C96">
        <v>1.2222599999999999</v>
      </c>
      <c r="D96">
        <v>19760</v>
      </c>
      <c r="E96">
        <v>0.122</v>
      </c>
      <c r="F96">
        <v>92</v>
      </c>
      <c r="G96" t="s">
        <v>2635</v>
      </c>
    </row>
    <row r="97" spans="1:8" x14ac:dyDescent="0.35">
      <c r="A97" t="s">
        <v>47</v>
      </c>
      <c r="B97" t="s">
        <v>47</v>
      </c>
      <c r="C97">
        <v>1.18872</v>
      </c>
      <c r="D97">
        <v>21336</v>
      </c>
      <c r="E97">
        <v>0.22885</v>
      </c>
      <c r="F97">
        <v>93</v>
      </c>
      <c r="G97" t="s">
        <v>79</v>
      </c>
      <c r="H97" t="s">
        <v>117</v>
      </c>
    </row>
    <row r="98" spans="1:8" x14ac:dyDescent="0.35">
      <c r="A98" t="s">
        <v>47</v>
      </c>
      <c r="B98" t="s">
        <v>47</v>
      </c>
      <c r="C98">
        <v>1.3498300000000001</v>
      </c>
      <c r="D98">
        <v>20708</v>
      </c>
      <c r="E98">
        <v>9.3399999999999997E-2</v>
      </c>
      <c r="F98">
        <v>94</v>
      </c>
      <c r="G98" s="3" t="s">
        <v>118</v>
      </c>
      <c r="H98" s="3"/>
    </row>
    <row r="99" spans="1:8" x14ac:dyDescent="0.35">
      <c r="A99" t="s">
        <v>47</v>
      </c>
      <c r="B99" t="s">
        <v>47</v>
      </c>
      <c r="C99">
        <v>1.17642</v>
      </c>
      <c r="D99">
        <v>21246</v>
      </c>
      <c r="E99">
        <v>0.18829000000000001</v>
      </c>
      <c r="F99">
        <v>95</v>
      </c>
      <c r="G99" t="s">
        <v>119</v>
      </c>
    </row>
    <row r="100" spans="1:8" x14ac:dyDescent="0.35">
      <c r="A100" t="s">
        <v>47</v>
      </c>
      <c r="B100" t="s">
        <v>47</v>
      </c>
      <c r="C100">
        <v>1.17815</v>
      </c>
      <c r="D100">
        <v>24389</v>
      </c>
      <c r="E100">
        <v>0.26294000000000001</v>
      </c>
      <c r="F100">
        <v>96</v>
      </c>
      <c r="G100" t="s">
        <v>2636</v>
      </c>
    </row>
    <row r="101" spans="1:8" x14ac:dyDescent="0.35">
      <c r="A101" t="s">
        <v>47</v>
      </c>
      <c r="B101" t="s">
        <v>47</v>
      </c>
      <c r="C101">
        <v>1.15781</v>
      </c>
      <c r="D101">
        <v>21882</v>
      </c>
      <c r="E101">
        <v>0.33584000000000003</v>
      </c>
      <c r="F101">
        <v>97</v>
      </c>
      <c r="G101" t="s">
        <v>2637</v>
      </c>
    </row>
    <row r="102" spans="1:8" x14ac:dyDescent="0.35">
      <c r="A102" t="s">
        <v>48</v>
      </c>
      <c r="B102" t="s">
        <v>48</v>
      </c>
      <c r="C102">
        <v>1.15246</v>
      </c>
      <c r="D102">
        <v>21882</v>
      </c>
      <c r="E102">
        <v>0.33584000000000003</v>
      </c>
      <c r="F102">
        <v>98</v>
      </c>
      <c r="G102" t="s">
        <v>2637</v>
      </c>
    </row>
    <row r="103" spans="1:8" x14ac:dyDescent="0.35">
      <c r="A103" t="s">
        <v>47</v>
      </c>
      <c r="B103" t="s">
        <v>47</v>
      </c>
      <c r="C103">
        <v>1.2336400000000001</v>
      </c>
      <c r="D103">
        <v>17135</v>
      </c>
      <c r="E103">
        <v>0.17438000000000001</v>
      </c>
      <c r="F103">
        <v>99</v>
      </c>
      <c r="G103" t="s">
        <v>120</v>
      </c>
    </row>
    <row r="104" spans="1:8" x14ac:dyDescent="0.35">
      <c r="A104" t="s">
        <v>47</v>
      </c>
      <c r="B104" t="s">
        <v>47</v>
      </c>
      <c r="C104">
        <v>1.37144</v>
      </c>
      <c r="D104">
        <v>19814</v>
      </c>
      <c r="E104">
        <v>0.13061</v>
      </c>
      <c r="F104">
        <v>100</v>
      </c>
      <c r="G104" t="s">
        <v>2638</v>
      </c>
    </row>
    <row r="105" spans="1:8" x14ac:dyDescent="0.35">
      <c r="A105" t="s">
        <v>47</v>
      </c>
      <c r="B105" t="s">
        <v>47</v>
      </c>
      <c r="C105">
        <v>1.2320800000000001</v>
      </c>
      <c r="D105">
        <v>22582</v>
      </c>
      <c r="E105">
        <v>0.63031000000000004</v>
      </c>
      <c r="F105">
        <v>101</v>
      </c>
      <c r="G105" t="s">
        <v>2639</v>
      </c>
    </row>
    <row r="106" spans="1:8" x14ac:dyDescent="0.35">
      <c r="A106" t="s">
        <v>48</v>
      </c>
      <c r="B106" t="s">
        <v>48</v>
      </c>
      <c r="C106">
        <v>1.1561399999999999</v>
      </c>
      <c r="D106">
        <v>22582</v>
      </c>
      <c r="E106">
        <v>0.63031000000000004</v>
      </c>
      <c r="F106">
        <v>102</v>
      </c>
      <c r="G106" t="s">
        <v>2639</v>
      </c>
    </row>
    <row r="107" spans="1:8" x14ac:dyDescent="0.35">
      <c r="A107" t="s">
        <v>47</v>
      </c>
      <c r="B107" t="s">
        <v>47</v>
      </c>
      <c r="C107">
        <v>1.1248</v>
      </c>
      <c r="D107">
        <v>19394</v>
      </c>
      <c r="E107">
        <v>0.34134999999999999</v>
      </c>
      <c r="F107">
        <v>103</v>
      </c>
      <c r="G107" t="s">
        <v>121</v>
      </c>
    </row>
    <row r="108" spans="1:8" x14ac:dyDescent="0.35">
      <c r="A108" t="s">
        <v>47</v>
      </c>
      <c r="B108" t="s">
        <v>47</v>
      </c>
      <c r="C108">
        <v>1.1406400000000001</v>
      </c>
      <c r="D108">
        <v>11464</v>
      </c>
      <c r="E108">
        <v>0.27705000000000002</v>
      </c>
      <c r="F108">
        <v>104</v>
      </c>
      <c r="G108" t="s">
        <v>2640</v>
      </c>
    </row>
    <row r="109" spans="1:8" x14ac:dyDescent="0.35">
      <c r="A109" t="s">
        <v>47</v>
      </c>
      <c r="B109" t="s">
        <v>47</v>
      </c>
      <c r="C109">
        <v>1.07534</v>
      </c>
      <c r="D109">
        <v>20196</v>
      </c>
      <c r="E109">
        <v>0.66025</v>
      </c>
      <c r="F109">
        <v>105</v>
      </c>
      <c r="G109" t="s">
        <v>2641</v>
      </c>
    </row>
    <row r="110" spans="1:8" x14ac:dyDescent="0.35">
      <c r="A110" t="s">
        <v>48</v>
      </c>
      <c r="B110" t="s">
        <v>48</v>
      </c>
      <c r="C110">
        <v>1.1196299999999999</v>
      </c>
      <c r="D110">
        <v>20196</v>
      </c>
      <c r="E110">
        <v>0.66025</v>
      </c>
      <c r="F110">
        <v>106</v>
      </c>
      <c r="G110" t="s">
        <v>2641</v>
      </c>
    </row>
    <row r="111" spans="1:8" x14ac:dyDescent="0.35">
      <c r="A111" t="s">
        <v>47</v>
      </c>
      <c r="B111" t="s">
        <v>47</v>
      </c>
      <c r="C111">
        <v>1.1208</v>
      </c>
      <c r="D111">
        <v>23073</v>
      </c>
      <c r="E111">
        <v>0.20046</v>
      </c>
      <c r="F111">
        <v>107</v>
      </c>
      <c r="G111" t="s">
        <v>2642</v>
      </c>
    </row>
    <row r="112" spans="1:8" x14ac:dyDescent="0.35">
      <c r="A112" t="s">
        <v>47</v>
      </c>
      <c r="B112" t="s">
        <v>47</v>
      </c>
      <c r="C112">
        <v>1.19306</v>
      </c>
      <c r="D112">
        <v>21967</v>
      </c>
      <c r="E112">
        <v>0.53613999999999995</v>
      </c>
      <c r="F112">
        <v>108</v>
      </c>
      <c r="G112" t="s">
        <v>2643</v>
      </c>
    </row>
    <row r="113" spans="1:7" x14ac:dyDescent="0.35">
      <c r="A113" t="s">
        <v>48</v>
      </c>
      <c r="B113" t="s">
        <v>48</v>
      </c>
      <c r="C113">
        <v>1.16814</v>
      </c>
      <c r="D113">
        <v>21967</v>
      </c>
      <c r="E113">
        <v>0.53613999999999995</v>
      </c>
      <c r="F113">
        <v>109</v>
      </c>
      <c r="G113" t="s">
        <v>2643</v>
      </c>
    </row>
    <row r="114" spans="1:7" x14ac:dyDescent="0.35">
      <c r="A114" t="s">
        <v>47</v>
      </c>
      <c r="B114" t="s">
        <v>47</v>
      </c>
      <c r="C114">
        <v>1.23028</v>
      </c>
      <c r="D114">
        <v>20970</v>
      </c>
      <c r="E114">
        <v>0.27290999999999999</v>
      </c>
      <c r="F114">
        <v>110</v>
      </c>
      <c r="G114" t="s">
        <v>2644</v>
      </c>
    </row>
    <row r="115" spans="1:7" x14ac:dyDescent="0.35">
      <c r="A115" t="s">
        <v>48</v>
      </c>
      <c r="B115" t="s">
        <v>48</v>
      </c>
      <c r="C115">
        <v>1.2044999999999999</v>
      </c>
      <c r="D115">
        <v>20970</v>
      </c>
      <c r="E115">
        <v>0.27290999999999999</v>
      </c>
      <c r="F115">
        <v>111</v>
      </c>
      <c r="G115" t="s">
        <v>2644</v>
      </c>
    </row>
    <row r="116" spans="1:7" x14ac:dyDescent="0.35">
      <c r="A116" t="s">
        <v>47</v>
      </c>
      <c r="B116" t="s">
        <v>47</v>
      </c>
      <c r="C116">
        <v>1.1806300000000001</v>
      </c>
      <c r="D116">
        <v>18371</v>
      </c>
      <c r="E116">
        <v>0.23827999999999999</v>
      </c>
      <c r="F116">
        <v>112</v>
      </c>
      <c r="G116" t="s">
        <v>80</v>
      </c>
    </row>
    <row r="117" spans="1:7" x14ac:dyDescent="0.35">
      <c r="A117" t="s">
        <v>47</v>
      </c>
      <c r="B117" t="s">
        <v>47</v>
      </c>
      <c r="C117">
        <v>1.2142599999999999</v>
      </c>
      <c r="D117">
        <v>17234</v>
      </c>
      <c r="E117">
        <v>0.31392999999999999</v>
      </c>
      <c r="F117">
        <v>113</v>
      </c>
      <c r="G117" t="s">
        <v>2645</v>
      </c>
    </row>
    <row r="118" spans="1:7" x14ac:dyDescent="0.35">
      <c r="A118" t="s">
        <v>47</v>
      </c>
      <c r="B118" t="s">
        <v>47</v>
      </c>
      <c r="C118">
        <v>1.19554</v>
      </c>
      <c r="D118">
        <v>20233</v>
      </c>
      <c r="E118">
        <v>0.45178000000000001</v>
      </c>
      <c r="F118">
        <v>114</v>
      </c>
      <c r="G118" t="s">
        <v>2646</v>
      </c>
    </row>
    <row r="119" spans="1:7" x14ac:dyDescent="0.35">
      <c r="A119" t="s">
        <v>48</v>
      </c>
      <c r="B119" t="s">
        <v>48</v>
      </c>
      <c r="C119">
        <v>1.1669700000000001</v>
      </c>
      <c r="D119">
        <v>20233</v>
      </c>
      <c r="E119">
        <v>0.45178000000000001</v>
      </c>
      <c r="F119">
        <v>115</v>
      </c>
      <c r="G119" t="s">
        <v>2646</v>
      </c>
    </row>
    <row r="120" spans="1:7" x14ac:dyDescent="0.35">
      <c r="A120" t="s">
        <v>48</v>
      </c>
      <c r="B120" t="s">
        <v>48</v>
      </c>
      <c r="C120">
        <v>1.10347</v>
      </c>
      <c r="D120">
        <v>21362</v>
      </c>
      <c r="E120">
        <v>0.46970000000000001</v>
      </c>
      <c r="F120">
        <v>116</v>
      </c>
      <c r="G120" t="s">
        <v>81</v>
      </c>
    </row>
    <row r="121" spans="1:7" x14ac:dyDescent="0.35">
      <c r="A121" t="s">
        <v>48</v>
      </c>
      <c r="B121" t="s">
        <v>48</v>
      </c>
      <c r="C121">
        <v>1.1560600000000001</v>
      </c>
      <c r="D121">
        <v>18731</v>
      </c>
      <c r="E121">
        <v>0.83053999999999994</v>
      </c>
      <c r="F121">
        <v>117</v>
      </c>
      <c r="G121" t="s">
        <v>82</v>
      </c>
    </row>
    <row r="122" spans="1:7" x14ac:dyDescent="0.35">
      <c r="A122" t="s">
        <v>48</v>
      </c>
      <c r="B122" t="s">
        <v>48</v>
      </c>
      <c r="C122">
        <v>1.1134299999999999</v>
      </c>
      <c r="D122">
        <v>18265</v>
      </c>
      <c r="E122">
        <v>0.77090000000000003</v>
      </c>
      <c r="F122">
        <v>118</v>
      </c>
      <c r="G122" t="s">
        <v>83</v>
      </c>
    </row>
    <row r="123" spans="1:7" x14ac:dyDescent="0.35">
      <c r="A123" t="s">
        <v>48</v>
      </c>
      <c r="B123" t="s">
        <v>48</v>
      </c>
      <c r="C123">
        <v>1.1300399999999999</v>
      </c>
      <c r="D123">
        <v>19141</v>
      </c>
      <c r="E123">
        <v>0.74741000000000002</v>
      </c>
      <c r="F123">
        <v>119</v>
      </c>
      <c r="G123" t="s">
        <v>84</v>
      </c>
    </row>
    <row r="124" spans="1:7" x14ac:dyDescent="0.35">
      <c r="A124" t="s">
        <v>48</v>
      </c>
      <c r="B124" t="s">
        <v>48</v>
      </c>
      <c r="C124">
        <v>1.12385</v>
      </c>
      <c r="D124">
        <v>19639</v>
      </c>
      <c r="E124">
        <v>0.64124999999999999</v>
      </c>
      <c r="F124">
        <v>120</v>
      </c>
      <c r="G124" t="s">
        <v>85</v>
      </c>
    </row>
    <row r="125" spans="1:7" x14ac:dyDescent="0.35">
      <c r="A125" t="s">
        <v>48</v>
      </c>
      <c r="B125" t="s">
        <v>48</v>
      </c>
      <c r="C125">
        <v>1.08382</v>
      </c>
      <c r="D125">
        <v>19001</v>
      </c>
      <c r="E125">
        <v>0.69567000000000001</v>
      </c>
      <c r="F125">
        <v>121</v>
      </c>
      <c r="G125" t="s">
        <v>86</v>
      </c>
    </row>
    <row r="126" spans="1:7" x14ac:dyDescent="0.35">
      <c r="A126" t="s">
        <v>47</v>
      </c>
      <c r="B126" t="s">
        <v>47</v>
      </c>
      <c r="C126">
        <v>1.1232200000000001</v>
      </c>
      <c r="D126">
        <v>20679</v>
      </c>
      <c r="E126">
        <v>0.55254999999999999</v>
      </c>
      <c r="F126">
        <v>122</v>
      </c>
      <c r="G126" t="s">
        <v>87</v>
      </c>
    </row>
    <row r="127" spans="1:7" x14ac:dyDescent="0.35">
      <c r="A127" t="s">
        <v>48</v>
      </c>
      <c r="B127" t="s">
        <v>48</v>
      </c>
      <c r="C127">
        <v>1.2175100000000001</v>
      </c>
      <c r="D127">
        <v>20679</v>
      </c>
      <c r="E127">
        <v>0.55254999999999999</v>
      </c>
      <c r="F127">
        <v>123</v>
      </c>
      <c r="G127" t="s">
        <v>87</v>
      </c>
    </row>
    <row r="128" spans="1:7" x14ac:dyDescent="0.35">
      <c r="A128" t="s">
        <v>48</v>
      </c>
      <c r="B128" t="s">
        <v>48</v>
      </c>
      <c r="C128">
        <v>1.02702</v>
      </c>
      <c r="D128">
        <v>14790</v>
      </c>
      <c r="E128">
        <v>0.84282999999999997</v>
      </c>
      <c r="F128">
        <v>124</v>
      </c>
      <c r="G128" t="s">
        <v>2647</v>
      </c>
    </row>
    <row r="129" spans="1:7" x14ac:dyDescent="0.35">
      <c r="A129" t="s">
        <v>47</v>
      </c>
      <c r="B129" t="s">
        <v>47</v>
      </c>
      <c r="C129">
        <v>1.1260399999999999</v>
      </c>
      <c r="D129">
        <v>19152</v>
      </c>
      <c r="E129">
        <v>0.53722999999999999</v>
      </c>
      <c r="F129">
        <v>125</v>
      </c>
      <c r="G129" t="s">
        <v>88</v>
      </c>
    </row>
    <row r="130" spans="1:7" x14ac:dyDescent="0.35">
      <c r="A130" t="s">
        <v>48</v>
      </c>
      <c r="B130" t="s">
        <v>48</v>
      </c>
      <c r="C130">
        <v>1.1031899999999999</v>
      </c>
      <c r="D130">
        <v>19152</v>
      </c>
      <c r="E130">
        <v>0.53722999999999999</v>
      </c>
      <c r="F130">
        <v>126</v>
      </c>
      <c r="G130" t="s">
        <v>88</v>
      </c>
    </row>
    <row r="131" spans="1:7" x14ac:dyDescent="0.35">
      <c r="A131" t="s">
        <v>48</v>
      </c>
      <c r="B131" t="s">
        <v>48</v>
      </c>
      <c r="C131">
        <v>1.1280699999999999</v>
      </c>
      <c r="D131">
        <v>18896</v>
      </c>
      <c r="E131">
        <v>0.82525999999999999</v>
      </c>
      <c r="F131">
        <v>127</v>
      </c>
      <c r="G131" t="s">
        <v>89</v>
      </c>
    </row>
    <row r="132" spans="1:7" x14ac:dyDescent="0.35">
      <c r="A132" t="s">
        <v>48</v>
      </c>
      <c r="B132" t="s">
        <v>48</v>
      </c>
      <c r="C132">
        <v>1.14436</v>
      </c>
      <c r="D132">
        <v>18057</v>
      </c>
      <c r="E132">
        <v>0.76883999999999997</v>
      </c>
      <c r="F132">
        <v>128</v>
      </c>
      <c r="G132" t="s">
        <v>90</v>
      </c>
    </row>
    <row r="133" spans="1:7" x14ac:dyDescent="0.35">
      <c r="A133" t="s">
        <v>47</v>
      </c>
      <c r="B133" t="s">
        <v>47</v>
      </c>
      <c r="C133">
        <v>1.14124</v>
      </c>
      <c r="D133">
        <v>19545</v>
      </c>
      <c r="E133">
        <v>0.69530000000000003</v>
      </c>
      <c r="F133">
        <v>129</v>
      </c>
      <c r="G133" t="s">
        <v>91</v>
      </c>
    </row>
    <row r="134" spans="1:7" x14ac:dyDescent="0.35">
      <c r="A134" t="s">
        <v>48</v>
      </c>
      <c r="B134" t="s">
        <v>48</v>
      </c>
      <c r="C134">
        <v>1.1268100000000001</v>
      </c>
      <c r="D134">
        <v>19545</v>
      </c>
      <c r="E134">
        <v>0.69530000000000003</v>
      </c>
      <c r="F134">
        <v>130</v>
      </c>
      <c r="G134" t="s">
        <v>91</v>
      </c>
    </row>
    <row r="135" spans="1:7" x14ac:dyDescent="0.35">
      <c r="A135" t="s">
        <v>48</v>
      </c>
      <c r="B135" t="s">
        <v>48</v>
      </c>
      <c r="C135">
        <v>1.09415</v>
      </c>
      <c r="D135">
        <v>19230</v>
      </c>
      <c r="E135">
        <v>0.81138999999999994</v>
      </c>
      <c r="F135">
        <v>131</v>
      </c>
      <c r="G135" t="s">
        <v>92</v>
      </c>
    </row>
    <row r="136" spans="1:7" x14ac:dyDescent="0.35">
      <c r="A136" t="s">
        <v>47</v>
      </c>
      <c r="B136" t="s">
        <v>47</v>
      </c>
      <c r="C136">
        <v>1.09076</v>
      </c>
      <c r="D136">
        <v>19037</v>
      </c>
      <c r="E136">
        <v>0.38767000000000001</v>
      </c>
      <c r="F136">
        <v>132</v>
      </c>
      <c r="G136" t="s">
        <v>93</v>
      </c>
    </row>
    <row r="137" spans="1:7" x14ac:dyDescent="0.35">
      <c r="A137" t="s">
        <v>48</v>
      </c>
      <c r="B137" t="s">
        <v>48</v>
      </c>
      <c r="C137">
        <v>1.12201</v>
      </c>
      <c r="D137">
        <v>19037</v>
      </c>
      <c r="E137">
        <v>0.38767000000000001</v>
      </c>
      <c r="F137">
        <v>133</v>
      </c>
      <c r="G137" t="s">
        <v>93</v>
      </c>
    </row>
    <row r="138" spans="1:7" x14ac:dyDescent="0.35">
      <c r="A138" t="s">
        <v>48</v>
      </c>
      <c r="B138" t="s">
        <v>48</v>
      </c>
      <c r="C138">
        <v>1.0791500000000001</v>
      </c>
      <c r="D138">
        <v>15582</v>
      </c>
      <c r="E138">
        <v>0.48464000000000002</v>
      </c>
      <c r="F138">
        <v>134</v>
      </c>
      <c r="G138" t="s">
        <v>94</v>
      </c>
    </row>
    <row r="139" spans="1:7" x14ac:dyDescent="0.35">
      <c r="A139" t="s">
        <v>47</v>
      </c>
      <c r="B139" t="s">
        <v>47</v>
      </c>
      <c r="C139">
        <v>1.4009</v>
      </c>
      <c r="D139">
        <v>22328</v>
      </c>
      <c r="E139">
        <v>0.37302999999999997</v>
      </c>
      <c r="F139">
        <v>135</v>
      </c>
      <c r="G139" t="s">
        <v>95</v>
      </c>
    </row>
    <row r="140" spans="1:7" x14ac:dyDescent="0.35">
      <c r="A140" t="s">
        <v>48</v>
      </c>
      <c r="B140" t="s">
        <v>48</v>
      </c>
      <c r="C140">
        <v>1.17096</v>
      </c>
      <c r="D140">
        <v>22328</v>
      </c>
      <c r="E140">
        <v>0.37302999999999997</v>
      </c>
      <c r="F140">
        <v>136</v>
      </c>
      <c r="G140" t="s">
        <v>95</v>
      </c>
    </row>
    <row r="141" spans="1:7" x14ac:dyDescent="0.35">
      <c r="A141" t="s">
        <v>48</v>
      </c>
      <c r="B141" t="s">
        <v>48</v>
      </c>
      <c r="C141">
        <v>1.14462</v>
      </c>
      <c r="D141">
        <v>16779</v>
      </c>
      <c r="E141">
        <v>0.88227</v>
      </c>
      <c r="F141">
        <v>137</v>
      </c>
      <c r="G141" t="s">
        <v>96</v>
      </c>
    </row>
    <row r="142" spans="1:7" x14ac:dyDescent="0.35">
      <c r="A142" t="s">
        <v>48</v>
      </c>
      <c r="B142" t="s">
        <v>48</v>
      </c>
      <c r="C142">
        <v>1.3122400000000001</v>
      </c>
      <c r="D142">
        <v>16223</v>
      </c>
      <c r="E142">
        <v>0.83492</v>
      </c>
      <c r="F142">
        <v>138</v>
      </c>
      <c r="G142" t="s">
        <v>97</v>
      </c>
    </row>
    <row r="143" spans="1:7" x14ac:dyDescent="0.35">
      <c r="A143" t="s">
        <v>47</v>
      </c>
      <c r="B143" t="s">
        <v>47</v>
      </c>
      <c r="C143">
        <v>1.2899400000000001</v>
      </c>
      <c r="D143">
        <v>20937</v>
      </c>
      <c r="E143">
        <v>0.80952000000000002</v>
      </c>
      <c r="F143">
        <v>139</v>
      </c>
      <c r="G143" t="s">
        <v>2648</v>
      </c>
    </row>
    <row r="144" spans="1:7" x14ac:dyDescent="0.35">
      <c r="A144" t="s">
        <v>48</v>
      </c>
      <c r="B144" t="s">
        <v>48</v>
      </c>
      <c r="C144">
        <v>1.1252500000000001</v>
      </c>
      <c r="D144">
        <v>20937</v>
      </c>
      <c r="E144">
        <v>0.80952000000000002</v>
      </c>
      <c r="F144">
        <v>140</v>
      </c>
      <c r="G144" t="s">
        <v>2648</v>
      </c>
    </row>
    <row r="145" spans="1:7" x14ac:dyDescent="0.35">
      <c r="A145" t="s">
        <v>48</v>
      </c>
      <c r="B145" t="s">
        <v>48</v>
      </c>
      <c r="C145">
        <v>1.17879</v>
      </c>
      <c r="D145">
        <v>16989</v>
      </c>
      <c r="E145">
        <v>0.89007000000000003</v>
      </c>
      <c r="F145">
        <v>141</v>
      </c>
      <c r="G145" t="s">
        <v>2649</v>
      </c>
    </row>
    <row r="146" spans="1:7" x14ac:dyDescent="0.35">
      <c r="A146" t="s">
        <v>47</v>
      </c>
      <c r="B146" t="s">
        <v>47</v>
      </c>
      <c r="C146">
        <v>1.23447</v>
      </c>
      <c r="D146">
        <v>21521</v>
      </c>
      <c r="E146">
        <v>0.79217000000000004</v>
      </c>
      <c r="F146">
        <v>142</v>
      </c>
      <c r="G146" t="s">
        <v>2650</v>
      </c>
    </row>
    <row r="147" spans="1:7" x14ac:dyDescent="0.35">
      <c r="A147" t="s">
        <v>48</v>
      </c>
      <c r="B147" t="s">
        <v>48</v>
      </c>
      <c r="C147">
        <v>1.19225</v>
      </c>
      <c r="D147">
        <v>21521</v>
      </c>
      <c r="E147">
        <v>0.79217000000000004</v>
      </c>
      <c r="F147">
        <v>143</v>
      </c>
      <c r="G147" t="s">
        <v>2650</v>
      </c>
    </row>
    <row r="148" spans="1:7" x14ac:dyDescent="0.35">
      <c r="A148" t="s">
        <v>48</v>
      </c>
      <c r="B148" t="s">
        <v>48</v>
      </c>
      <c r="C148">
        <v>1.1670799999999999</v>
      </c>
      <c r="D148">
        <v>20097</v>
      </c>
      <c r="E148">
        <v>0.79559999999999997</v>
      </c>
      <c r="F148">
        <v>144</v>
      </c>
      <c r="G148" t="s">
        <v>98</v>
      </c>
    </row>
    <row r="149" spans="1:7" x14ac:dyDescent="0.35">
      <c r="A149" t="s">
        <v>47</v>
      </c>
      <c r="B149" t="s">
        <v>47</v>
      </c>
      <c r="C149">
        <v>1.23244</v>
      </c>
      <c r="D149">
        <v>23033</v>
      </c>
      <c r="E149">
        <v>0.55045999999999995</v>
      </c>
      <c r="F149">
        <v>145</v>
      </c>
      <c r="G149" t="s">
        <v>2651</v>
      </c>
    </row>
    <row r="150" spans="1:7" x14ac:dyDescent="0.35">
      <c r="A150" t="s">
        <v>48</v>
      </c>
      <c r="B150" t="s">
        <v>48</v>
      </c>
      <c r="C150">
        <v>1.23203</v>
      </c>
      <c r="D150">
        <v>23033</v>
      </c>
      <c r="E150">
        <v>0.55045999999999995</v>
      </c>
      <c r="F150">
        <v>146</v>
      </c>
      <c r="G150" t="s">
        <v>2651</v>
      </c>
    </row>
    <row r="151" spans="1:7" x14ac:dyDescent="0.35">
      <c r="A151" t="s">
        <v>47</v>
      </c>
      <c r="B151" t="s">
        <v>47</v>
      </c>
      <c r="C151">
        <v>1.1692100000000001</v>
      </c>
      <c r="D151">
        <v>19247</v>
      </c>
      <c r="E151">
        <v>0.11677999999999999</v>
      </c>
      <c r="F151">
        <v>147</v>
      </c>
      <c r="G151" t="s">
        <v>2652</v>
      </c>
    </row>
    <row r="152" spans="1:7" x14ac:dyDescent="0.35">
      <c r="A152" t="s">
        <v>47</v>
      </c>
      <c r="B152" t="s">
        <v>47</v>
      </c>
      <c r="C152">
        <v>1.05339</v>
      </c>
      <c r="D152">
        <v>25390</v>
      </c>
      <c r="E152">
        <v>0.13250999999999999</v>
      </c>
      <c r="F152">
        <v>148</v>
      </c>
      <c r="G152" t="s">
        <v>2653</v>
      </c>
    </row>
    <row r="153" spans="1:7" x14ac:dyDescent="0.35">
      <c r="A153" t="s">
        <v>47</v>
      </c>
      <c r="B153" t="s">
        <v>47</v>
      </c>
      <c r="C153">
        <v>1.24065</v>
      </c>
      <c r="D153">
        <v>19922</v>
      </c>
      <c r="E153">
        <v>7.621E-2</v>
      </c>
      <c r="F153">
        <v>149</v>
      </c>
      <c r="G153" t="s">
        <v>2654</v>
      </c>
    </row>
    <row r="154" spans="1:7" x14ac:dyDescent="0.35">
      <c r="A154" t="s">
        <v>47</v>
      </c>
      <c r="B154" t="s">
        <v>47</v>
      </c>
      <c r="C154">
        <v>1.1323099999999999</v>
      </c>
      <c r="D154">
        <v>20420</v>
      </c>
      <c r="E154">
        <v>9.9349999999999994E-2</v>
      </c>
      <c r="F154">
        <v>150</v>
      </c>
      <c r="G154" t="s">
        <v>2655</v>
      </c>
    </row>
    <row r="155" spans="1:7" x14ac:dyDescent="0.35">
      <c r="A155" t="s">
        <v>47</v>
      </c>
      <c r="B155" t="s">
        <v>47</v>
      </c>
      <c r="C155">
        <v>1.1480699999999999</v>
      </c>
      <c r="D155">
        <v>18444</v>
      </c>
      <c r="E155">
        <v>0.50305999999999995</v>
      </c>
      <c r="F155">
        <v>151</v>
      </c>
      <c r="G155" t="s">
        <v>99</v>
      </c>
    </row>
    <row r="156" spans="1:7" x14ac:dyDescent="0.35">
      <c r="A156" t="s">
        <v>47</v>
      </c>
      <c r="B156" t="s">
        <v>47</v>
      </c>
      <c r="C156">
        <v>1.19685</v>
      </c>
      <c r="D156">
        <v>20972</v>
      </c>
      <c r="E156">
        <v>6.9779999999999995E-2</v>
      </c>
      <c r="F156">
        <v>152</v>
      </c>
      <c r="G156" t="s">
        <v>100</v>
      </c>
    </row>
    <row r="157" spans="1:7" x14ac:dyDescent="0.35">
      <c r="A157" t="s">
        <v>47</v>
      </c>
      <c r="B157" t="s">
        <v>47</v>
      </c>
      <c r="C157">
        <v>1.1962299999999999</v>
      </c>
      <c r="D157">
        <v>20708</v>
      </c>
      <c r="E157">
        <v>9.0709999999999999E-2</v>
      </c>
      <c r="F157">
        <v>153</v>
      </c>
      <c r="G157" t="s">
        <v>101</v>
      </c>
    </row>
    <row r="158" spans="1:7" x14ac:dyDescent="0.35">
      <c r="A158" t="s">
        <v>47</v>
      </c>
      <c r="B158" t="s">
        <v>47</v>
      </c>
      <c r="C158">
        <v>1.1631499999999999</v>
      </c>
      <c r="D158">
        <v>19567</v>
      </c>
      <c r="E158">
        <v>8.029E-2</v>
      </c>
      <c r="F158">
        <v>154</v>
      </c>
      <c r="G158" t="s">
        <v>2656</v>
      </c>
    </row>
    <row r="159" spans="1:7" x14ac:dyDescent="0.35">
      <c r="A159" t="s">
        <v>47</v>
      </c>
      <c r="B159" t="s">
        <v>47</v>
      </c>
      <c r="C159">
        <v>1.2061200000000001</v>
      </c>
      <c r="D159">
        <v>20524</v>
      </c>
      <c r="E159">
        <v>9.2160000000000006E-2</v>
      </c>
      <c r="F159">
        <v>155</v>
      </c>
      <c r="G159" t="s">
        <v>2657</v>
      </c>
    </row>
    <row r="160" spans="1:7" x14ac:dyDescent="0.35">
      <c r="A160" t="s">
        <v>47</v>
      </c>
      <c r="B160" t="s">
        <v>47</v>
      </c>
      <c r="C160">
        <v>1.1374599999999999</v>
      </c>
      <c r="D160">
        <v>19923</v>
      </c>
      <c r="E160">
        <v>6.4390000000000003E-2</v>
      </c>
      <c r="F160">
        <v>156</v>
      </c>
      <c r="G160" t="s">
        <v>2658</v>
      </c>
    </row>
    <row r="161" spans="1:7" x14ac:dyDescent="0.35">
      <c r="A161" t="s">
        <v>47</v>
      </c>
      <c r="B161" t="s">
        <v>47</v>
      </c>
      <c r="C161">
        <v>1.2104600000000001</v>
      </c>
      <c r="D161">
        <v>22058</v>
      </c>
      <c r="E161">
        <v>0.10309</v>
      </c>
      <c r="F161">
        <v>157</v>
      </c>
      <c r="G161" t="s">
        <v>2659</v>
      </c>
    </row>
    <row r="162" spans="1:7" x14ac:dyDescent="0.35">
      <c r="A162" t="s">
        <v>47</v>
      </c>
      <c r="B162" t="s">
        <v>47</v>
      </c>
      <c r="C162">
        <v>1.23607</v>
      </c>
      <c r="D162">
        <v>22225</v>
      </c>
      <c r="E162">
        <v>0.12367</v>
      </c>
      <c r="F162">
        <v>158</v>
      </c>
      <c r="G162" t="s">
        <v>102</v>
      </c>
    </row>
    <row r="163" spans="1:7" x14ac:dyDescent="0.35">
      <c r="A163" t="s">
        <v>47</v>
      </c>
      <c r="B163" t="s">
        <v>47</v>
      </c>
      <c r="C163">
        <v>1.1595599999999999</v>
      </c>
      <c r="D163">
        <v>23762</v>
      </c>
      <c r="E163">
        <v>0.14116999999999999</v>
      </c>
      <c r="F163">
        <v>159</v>
      </c>
      <c r="G163" t="s">
        <v>103</v>
      </c>
    </row>
    <row r="164" spans="1:7" x14ac:dyDescent="0.35">
      <c r="A164" t="s">
        <v>47</v>
      </c>
      <c r="B164" t="s">
        <v>47</v>
      </c>
      <c r="C164">
        <v>1.12304</v>
      </c>
      <c r="D164">
        <v>21708</v>
      </c>
      <c r="E164">
        <v>0.11443</v>
      </c>
      <c r="F164">
        <v>160</v>
      </c>
      <c r="G164" t="s">
        <v>104</v>
      </c>
    </row>
    <row r="165" spans="1:7" x14ac:dyDescent="0.35">
      <c r="A165" t="s">
        <v>47</v>
      </c>
      <c r="B165" t="s">
        <v>47</v>
      </c>
      <c r="C165">
        <v>1.23729</v>
      </c>
      <c r="D165">
        <v>21723</v>
      </c>
      <c r="E165">
        <v>9.7640000000000005E-2</v>
      </c>
      <c r="F165">
        <v>161</v>
      </c>
      <c r="G165" t="s">
        <v>2660</v>
      </c>
    </row>
    <row r="166" spans="1:7" x14ac:dyDescent="0.35">
      <c r="A166" t="s">
        <v>47</v>
      </c>
      <c r="B166" t="s">
        <v>47</v>
      </c>
      <c r="C166">
        <v>1.17448</v>
      </c>
      <c r="D166">
        <v>20525</v>
      </c>
      <c r="E166">
        <v>0.20685000000000001</v>
      </c>
      <c r="F166">
        <v>162</v>
      </c>
      <c r="G166" t="s">
        <v>2661</v>
      </c>
    </row>
    <row r="167" spans="1:7" x14ac:dyDescent="0.35">
      <c r="A167" t="s">
        <v>47</v>
      </c>
      <c r="B167" t="s">
        <v>47</v>
      </c>
      <c r="C167">
        <v>1.12724</v>
      </c>
      <c r="D167">
        <v>20814</v>
      </c>
      <c r="E167">
        <v>0.11584</v>
      </c>
      <c r="F167">
        <v>163</v>
      </c>
      <c r="G167" t="s">
        <v>2662</v>
      </c>
    </row>
    <row r="168" spans="1:7" x14ac:dyDescent="0.35">
      <c r="A168" t="s">
        <v>47</v>
      </c>
      <c r="B168" t="s">
        <v>47</v>
      </c>
      <c r="C168">
        <v>1.16466</v>
      </c>
      <c r="D168">
        <v>20927</v>
      </c>
      <c r="E168">
        <v>0.10786</v>
      </c>
      <c r="F168">
        <v>164</v>
      </c>
      <c r="G168" t="s">
        <v>105</v>
      </c>
    </row>
    <row r="169" spans="1:7" x14ac:dyDescent="0.35">
      <c r="A169" t="s">
        <v>47</v>
      </c>
      <c r="B169" t="s">
        <v>47</v>
      </c>
      <c r="C169">
        <v>1.22658</v>
      </c>
      <c r="D169">
        <v>19918</v>
      </c>
      <c r="E169">
        <v>0.20358999999999999</v>
      </c>
      <c r="F169">
        <v>165</v>
      </c>
      <c r="G169" t="s">
        <v>2663</v>
      </c>
    </row>
    <row r="170" spans="1:7" x14ac:dyDescent="0.35">
      <c r="A170" t="s">
        <v>47</v>
      </c>
      <c r="B170" t="s">
        <v>47</v>
      </c>
      <c r="C170">
        <v>1.2945800000000001</v>
      </c>
      <c r="D170">
        <v>20617</v>
      </c>
      <c r="E170">
        <v>0.11380999999999999</v>
      </c>
      <c r="F170">
        <v>166</v>
      </c>
      <c r="G170" t="s">
        <v>2664</v>
      </c>
    </row>
    <row r="171" spans="1:7" x14ac:dyDescent="0.35">
      <c r="A171" t="s">
        <v>47</v>
      </c>
      <c r="B171" t="s">
        <v>47</v>
      </c>
      <c r="C171">
        <v>1.1484399999999999</v>
      </c>
      <c r="D171">
        <v>21043</v>
      </c>
      <c r="E171">
        <v>0.126</v>
      </c>
      <c r="F171">
        <v>167</v>
      </c>
      <c r="G171" t="s">
        <v>106</v>
      </c>
    </row>
    <row r="172" spans="1:7" x14ac:dyDescent="0.35">
      <c r="A172" t="s">
        <v>47</v>
      </c>
      <c r="B172" t="s">
        <v>47</v>
      </c>
      <c r="C172">
        <v>1.21088</v>
      </c>
      <c r="D172">
        <v>18986</v>
      </c>
      <c r="E172">
        <v>0.12797</v>
      </c>
      <c r="F172">
        <v>168</v>
      </c>
      <c r="G172" t="s">
        <v>107</v>
      </c>
    </row>
    <row r="173" spans="1:7" x14ac:dyDescent="0.35">
      <c r="A173" t="s">
        <v>47</v>
      </c>
      <c r="B173" t="s">
        <v>47</v>
      </c>
      <c r="C173">
        <v>1.1554800000000001</v>
      </c>
      <c r="D173">
        <v>22864</v>
      </c>
      <c r="E173">
        <v>0.17207</v>
      </c>
      <c r="F173">
        <v>169</v>
      </c>
      <c r="G173" t="s">
        <v>2665</v>
      </c>
    </row>
    <row r="174" spans="1:7" x14ac:dyDescent="0.35">
      <c r="A174" t="s">
        <v>47</v>
      </c>
      <c r="B174" t="s">
        <v>47</v>
      </c>
      <c r="C174">
        <v>1.1258699999999999</v>
      </c>
      <c r="D174">
        <v>21612</v>
      </c>
      <c r="E174">
        <v>0.18909999999999999</v>
      </c>
      <c r="F174">
        <v>170</v>
      </c>
      <c r="G174" t="s">
        <v>108</v>
      </c>
    </row>
    <row r="175" spans="1:7" x14ac:dyDescent="0.35">
      <c r="A175" t="s">
        <v>47</v>
      </c>
      <c r="B175" t="s">
        <v>47</v>
      </c>
      <c r="C175">
        <v>1.1574899999999999</v>
      </c>
      <c r="D175">
        <v>19758</v>
      </c>
      <c r="E175">
        <v>0.10186000000000001</v>
      </c>
      <c r="F175">
        <v>171</v>
      </c>
      <c r="G175" t="s">
        <v>109</v>
      </c>
    </row>
    <row r="176" spans="1:7" x14ac:dyDescent="0.35">
      <c r="A176" t="s">
        <v>47</v>
      </c>
      <c r="B176" t="s">
        <v>47</v>
      </c>
      <c r="C176">
        <v>1.1792100000000001</v>
      </c>
      <c r="D176">
        <v>20379</v>
      </c>
      <c r="E176">
        <v>0.16014999999999999</v>
      </c>
      <c r="F176">
        <v>172</v>
      </c>
      <c r="G176" t="s">
        <v>110</v>
      </c>
    </row>
    <row r="177" spans="1:7" x14ac:dyDescent="0.35">
      <c r="A177" t="s">
        <v>47</v>
      </c>
      <c r="B177" t="s">
        <v>47</v>
      </c>
      <c r="C177">
        <v>1.18594</v>
      </c>
      <c r="D177">
        <v>24187</v>
      </c>
      <c r="E177">
        <v>0.12634999999999999</v>
      </c>
      <c r="F177">
        <v>173</v>
      </c>
      <c r="G177" t="s">
        <v>2666</v>
      </c>
    </row>
    <row r="178" spans="1:7" x14ac:dyDescent="0.35">
      <c r="A178" t="s">
        <v>47</v>
      </c>
      <c r="B178" t="s">
        <v>47</v>
      </c>
      <c r="C178">
        <v>1.1634199999999999</v>
      </c>
      <c r="D178">
        <v>19406</v>
      </c>
      <c r="E178">
        <v>9.0459999999999999E-2</v>
      </c>
      <c r="F178">
        <v>174</v>
      </c>
      <c r="G178" t="s">
        <v>2667</v>
      </c>
    </row>
    <row r="179" spans="1:7" x14ac:dyDescent="0.35">
      <c r="A179" t="s">
        <v>47</v>
      </c>
      <c r="B179" t="s">
        <v>47</v>
      </c>
      <c r="C179">
        <v>1.1292</v>
      </c>
      <c r="D179">
        <v>18507</v>
      </c>
      <c r="E179">
        <v>0.26185000000000003</v>
      </c>
      <c r="F179">
        <v>175</v>
      </c>
      <c r="G179" t="s">
        <v>2668</v>
      </c>
    </row>
    <row r="180" spans="1:7" x14ac:dyDescent="0.35">
      <c r="A180" t="s">
        <v>47</v>
      </c>
      <c r="B180" t="s">
        <v>47</v>
      </c>
      <c r="C180">
        <v>1.16784</v>
      </c>
      <c r="D180">
        <v>21565</v>
      </c>
      <c r="E180">
        <v>6.6299999999999998E-2</v>
      </c>
      <c r="F180">
        <v>176</v>
      </c>
      <c r="G180" t="s">
        <v>111</v>
      </c>
    </row>
    <row r="181" spans="1:7" x14ac:dyDescent="0.35">
      <c r="A181" t="s">
        <v>47</v>
      </c>
      <c r="B181" t="s">
        <v>47</v>
      </c>
      <c r="C181">
        <v>1.1448400000000001</v>
      </c>
      <c r="D181">
        <v>22765</v>
      </c>
      <c r="E181">
        <v>8.2449999999999996E-2</v>
      </c>
      <c r="F181">
        <v>177</v>
      </c>
      <c r="G181" t="s">
        <v>2669</v>
      </c>
    </row>
    <row r="182" spans="1:7" x14ac:dyDescent="0.35">
      <c r="A182" t="s">
        <v>47</v>
      </c>
      <c r="B182" t="s">
        <v>47</v>
      </c>
      <c r="C182">
        <v>1.2332399999999999</v>
      </c>
      <c r="D182">
        <v>23319</v>
      </c>
      <c r="E182">
        <v>0.11006000000000001</v>
      </c>
      <c r="F182">
        <v>178</v>
      </c>
      <c r="G182" t="s">
        <v>2670</v>
      </c>
    </row>
    <row r="183" spans="1:7" x14ac:dyDescent="0.35">
      <c r="A183" t="s">
        <v>47</v>
      </c>
      <c r="B183" t="s">
        <v>47</v>
      </c>
      <c r="C183">
        <v>1.2816700000000001</v>
      </c>
      <c r="D183">
        <v>23655</v>
      </c>
      <c r="E183">
        <v>0.12912000000000001</v>
      </c>
      <c r="F183">
        <v>179</v>
      </c>
      <c r="G183" t="s">
        <v>112</v>
      </c>
    </row>
    <row r="184" spans="1:7" x14ac:dyDescent="0.35">
      <c r="A184" t="s">
        <v>47</v>
      </c>
      <c r="B184" t="s">
        <v>47</v>
      </c>
      <c r="C184">
        <v>1.0560099999999999</v>
      </c>
      <c r="D184">
        <v>18545</v>
      </c>
      <c r="E184">
        <v>0.43840000000000001</v>
      </c>
      <c r="F184">
        <v>180</v>
      </c>
      <c r="G184" t="s">
        <v>113</v>
      </c>
    </row>
    <row r="185" spans="1:7" x14ac:dyDescent="0.35">
      <c r="A185" t="s">
        <v>47</v>
      </c>
      <c r="B185" t="s">
        <v>47</v>
      </c>
      <c r="C185">
        <v>1.1367</v>
      </c>
      <c r="D185">
        <v>22024</v>
      </c>
      <c r="E185">
        <v>0.12346</v>
      </c>
      <c r="F185">
        <v>181</v>
      </c>
      <c r="G185" t="s">
        <v>114</v>
      </c>
    </row>
    <row r="186" spans="1:7" x14ac:dyDescent="0.35">
      <c r="A186" t="s">
        <v>47</v>
      </c>
      <c r="B186" t="s">
        <v>47</v>
      </c>
      <c r="C186">
        <v>1.1617</v>
      </c>
      <c r="D186">
        <v>18664</v>
      </c>
      <c r="E186">
        <v>0.33052999999999999</v>
      </c>
      <c r="F186">
        <v>182</v>
      </c>
      <c r="G186" t="s">
        <v>2671</v>
      </c>
    </row>
    <row r="187" spans="1:7" x14ac:dyDescent="0.35">
      <c r="A187" t="s">
        <v>48</v>
      </c>
      <c r="B187" t="s">
        <v>48</v>
      </c>
      <c r="C187">
        <v>1.18587</v>
      </c>
      <c r="D187">
        <v>18664</v>
      </c>
      <c r="E187">
        <v>0.33052999999999999</v>
      </c>
      <c r="F187">
        <v>183</v>
      </c>
      <c r="G187" t="s">
        <v>2671</v>
      </c>
    </row>
    <row r="188" spans="1:7" x14ac:dyDescent="0.35">
      <c r="A188" t="s">
        <v>47</v>
      </c>
      <c r="B188" t="s">
        <v>47</v>
      </c>
      <c r="C188">
        <v>1.20485</v>
      </c>
      <c r="D188">
        <v>21813</v>
      </c>
      <c r="E188">
        <v>0.71514</v>
      </c>
      <c r="F188">
        <v>184</v>
      </c>
      <c r="G188" t="s">
        <v>2672</v>
      </c>
    </row>
    <row r="189" spans="1:7" x14ac:dyDescent="0.35">
      <c r="A189" t="s">
        <v>47</v>
      </c>
      <c r="B189" t="s">
        <v>47</v>
      </c>
      <c r="C189">
        <v>1.13479</v>
      </c>
      <c r="D189">
        <v>19067</v>
      </c>
      <c r="E189">
        <v>0.10333000000000001</v>
      </c>
      <c r="F189">
        <v>185</v>
      </c>
      <c r="G189" t="s">
        <v>2673</v>
      </c>
    </row>
    <row r="190" spans="1:7" x14ac:dyDescent="0.35">
      <c r="A190" t="s">
        <v>47</v>
      </c>
      <c r="B190" t="s">
        <v>47</v>
      </c>
      <c r="C190">
        <v>1.1371899999999999</v>
      </c>
      <c r="D190">
        <v>20189</v>
      </c>
      <c r="E190">
        <v>0.14591999999999999</v>
      </c>
      <c r="F190">
        <v>186</v>
      </c>
      <c r="G190" t="s">
        <v>2674</v>
      </c>
    </row>
    <row r="191" spans="1:7" x14ac:dyDescent="0.35">
      <c r="A191" t="s">
        <v>47</v>
      </c>
      <c r="B191" t="s">
        <v>47</v>
      </c>
      <c r="C191">
        <v>1.16917</v>
      </c>
      <c r="D191">
        <v>19373</v>
      </c>
      <c r="E191">
        <v>0.14215</v>
      </c>
      <c r="F191">
        <v>187</v>
      </c>
      <c r="G191" t="s">
        <v>2675</v>
      </c>
    </row>
    <row r="192" spans="1:7" x14ac:dyDescent="0.35">
      <c r="A192" t="s">
        <v>47</v>
      </c>
      <c r="B192" t="s">
        <v>47</v>
      </c>
      <c r="C192">
        <v>1.22438</v>
      </c>
      <c r="D192">
        <v>20037</v>
      </c>
      <c r="E192">
        <v>0.12375</v>
      </c>
      <c r="F192">
        <v>188</v>
      </c>
      <c r="G192" t="s">
        <v>2676</v>
      </c>
    </row>
    <row r="193" spans="1:7" x14ac:dyDescent="0.35">
      <c r="A193" t="s">
        <v>47</v>
      </c>
      <c r="B193" t="s">
        <v>47</v>
      </c>
      <c r="C193">
        <v>1.15323</v>
      </c>
      <c r="D193">
        <v>21258</v>
      </c>
      <c r="E193">
        <v>0.11700000000000001</v>
      </c>
      <c r="F193">
        <v>189</v>
      </c>
      <c r="G193" t="s">
        <v>2677</v>
      </c>
    </row>
    <row r="194" spans="1:7" x14ac:dyDescent="0.35">
      <c r="A194" t="s">
        <v>47</v>
      </c>
      <c r="B194" t="s">
        <v>47</v>
      </c>
      <c r="C194">
        <v>1.13862</v>
      </c>
      <c r="D194">
        <v>20150</v>
      </c>
      <c r="E194">
        <v>0.14388000000000001</v>
      </c>
      <c r="F194">
        <v>190</v>
      </c>
      <c r="G194" t="s">
        <v>2678</v>
      </c>
    </row>
    <row r="195" spans="1:7" x14ac:dyDescent="0.35">
      <c r="A195" t="s">
        <v>47</v>
      </c>
      <c r="B195" t="s">
        <v>47</v>
      </c>
      <c r="C195">
        <v>1.13592</v>
      </c>
      <c r="D195">
        <v>20176</v>
      </c>
      <c r="E195">
        <v>0.18776999999999999</v>
      </c>
      <c r="F195">
        <v>191</v>
      </c>
      <c r="G195" t="s">
        <v>2679</v>
      </c>
    </row>
    <row r="196" spans="1:7" x14ac:dyDescent="0.35">
      <c r="A196" t="s">
        <v>47</v>
      </c>
      <c r="B196" t="s">
        <v>47</v>
      </c>
      <c r="C196">
        <v>1.1077399999999999</v>
      </c>
      <c r="D196">
        <v>20829</v>
      </c>
      <c r="E196">
        <v>0.24889</v>
      </c>
      <c r="F196">
        <v>192</v>
      </c>
      <c r="G196" t="s">
        <v>2680</v>
      </c>
    </row>
    <row r="197" spans="1:7" x14ac:dyDescent="0.35">
      <c r="A197" t="s">
        <v>47</v>
      </c>
      <c r="B197" t="s">
        <v>47</v>
      </c>
      <c r="C197">
        <v>1.1752100000000001</v>
      </c>
      <c r="D197">
        <v>18718</v>
      </c>
      <c r="E197">
        <v>0.12739</v>
      </c>
      <c r="F197">
        <v>193</v>
      </c>
      <c r="G197" t="s">
        <v>2681</v>
      </c>
    </row>
    <row r="198" spans="1:7" x14ac:dyDescent="0.35">
      <c r="A198" t="s">
        <v>47</v>
      </c>
      <c r="B198" t="s">
        <v>47</v>
      </c>
      <c r="C198">
        <v>1.16503</v>
      </c>
      <c r="D198">
        <v>19252</v>
      </c>
      <c r="E198">
        <v>0.15648999999999999</v>
      </c>
      <c r="F198">
        <v>194</v>
      </c>
      <c r="G198" t="s">
        <v>2682</v>
      </c>
    </row>
    <row r="199" spans="1:7" x14ac:dyDescent="0.35">
      <c r="A199" t="s">
        <v>47</v>
      </c>
      <c r="B199" t="s">
        <v>47</v>
      </c>
      <c r="C199">
        <v>1.13605</v>
      </c>
      <c r="D199">
        <v>20858</v>
      </c>
      <c r="E199">
        <v>0.18071000000000001</v>
      </c>
      <c r="F199">
        <v>195</v>
      </c>
      <c r="G199" t="s">
        <v>2683</v>
      </c>
    </row>
    <row r="200" spans="1:7" x14ac:dyDescent="0.35">
      <c r="A200" t="s">
        <v>47</v>
      </c>
      <c r="B200" t="s">
        <v>47</v>
      </c>
      <c r="C200">
        <v>1.18167</v>
      </c>
      <c r="D200">
        <v>18729</v>
      </c>
      <c r="E200">
        <v>0.21329999999999999</v>
      </c>
      <c r="F200">
        <v>196</v>
      </c>
      <c r="G200" t="s">
        <v>2684</v>
      </c>
    </row>
    <row r="201" spans="1:7" x14ac:dyDescent="0.35">
      <c r="A201" t="s">
        <v>47</v>
      </c>
      <c r="B201" t="s">
        <v>47</v>
      </c>
      <c r="C201">
        <v>1.27702</v>
      </c>
      <c r="D201">
        <v>18696</v>
      </c>
      <c r="E201">
        <v>0.12314</v>
      </c>
      <c r="F201">
        <v>197</v>
      </c>
      <c r="G201" t="s">
        <v>2685</v>
      </c>
    </row>
    <row r="202" spans="1:7" x14ac:dyDescent="0.35">
      <c r="A202" t="s">
        <v>47</v>
      </c>
      <c r="B202" t="s">
        <v>47</v>
      </c>
      <c r="C202">
        <v>1.1233900000000001</v>
      </c>
      <c r="D202">
        <v>19377</v>
      </c>
      <c r="E202">
        <v>0.1401</v>
      </c>
      <c r="F202">
        <v>198</v>
      </c>
      <c r="G202" t="s">
        <v>2686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8" ma:contentTypeDescription="Creare un nuovo documento." ma:contentTypeScope="" ma:versionID="57b8045e8abefa85dedc7991371a38b2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f5ecd2ee382a35af39c71524ba84a011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EFD57D-EEC6-4A67-9350-548B05C68292}">
  <ds:schemaRefs>
    <ds:schemaRef ds:uri="6c014026-a0ef-45dc-9ca9-ac355db24e99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77a3f60d-3740-4b8f-aea2-18b203205ea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A5ACC29-5E7A-4767-A165-EB2C946955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a3f60d-3740-4b8f-aea2-18b203205ead"/>
    <ds:schemaRef ds:uri="6c014026-a0ef-45dc-9ca9-ac355db24e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ConcordatoBiennale</vt:lpstr>
      <vt:lpstr>ReddNorm</vt:lpstr>
      <vt:lpstr>SoggIRES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Mattavelli</cp:lastModifiedBy>
  <dcterms:created xsi:type="dcterms:W3CDTF">2024-06-03T12:37:50Z</dcterms:created>
  <dcterms:modified xsi:type="dcterms:W3CDTF">2025-09-18T11:19:26Z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